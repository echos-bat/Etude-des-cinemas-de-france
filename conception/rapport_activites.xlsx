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Bilal\Desktop\saepython\sae_py\conception\"/>
    </mc:Choice>
  </mc:AlternateContent>
  <xr:revisionPtr revIDLastSave="0" documentId="13_ncr:1_{7A7F7D07-315A-4349-BBEB-1C1938DB54CA}" xr6:coauthVersionLast="47" xr6:coauthVersionMax="47" xr10:uidLastSave="{00000000-0000-0000-0000-000000000000}"/>
  <bookViews>
    <workbookView xWindow="4950" yWindow="1755" windowWidth="44040" windowHeight="18240" activeTab="1" xr2:uid="{00000000-000D-0000-FFFF-FFFF00000000}"/>
  </bookViews>
  <sheets>
    <sheet name="Basic Data" sheetId="1" r:id="rId1"/>
    <sheet name="Project Pl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2" l="1"/>
  <c r="B2" i="2"/>
  <c r="H10" i="2" l="1"/>
  <c r="C6" i="2" l="1"/>
  <c r="I8" i="2"/>
  <c r="I7" i="2" s="1"/>
  <c r="I9" i="2" l="1"/>
  <c r="I6" i="2"/>
  <c r="J8" i="2"/>
  <c r="J9" i="2" s="1"/>
  <c r="K8" i="2" l="1"/>
  <c r="K9" i="2" s="1"/>
  <c r="L8" i="2" l="1"/>
  <c r="L9" i="2" s="1"/>
  <c r="M8" i="2" l="1"/>
  <c r="M9" i="2" s="1"/>
  <c r="N8" i="2" l="1"/>
  <c r="N9" i="2" s="1"/>
  <c r="O8" i="2" l="1"/>
  <c r="O9" i="2" s="1"/>
  <c r="P8" i="2" l="1"/>
  <c r="P9" i="2" l="1"/>
  <c r="P6" i="2"/>
  <c r="Q8" i="2"/>
  <c r="Q9" i="2" s="1"/>
  <c r="P7" i="2"/>
  <c r="R8" i="2" l="1"/>
  <c r="R9" i="2" s="1"/>
  <c r="S8" i="2" l="1"/>
  <c r="S9" i="2" s="1"/>
  <c r="T8" i="2" l="1"/>
  <c r="T9" i="2" s="1"/>
  <c r="U8" i="2" l="1"/>
  <c r="U9" i="2" s="1"/>
  <c r="V8" i="2" l="1"/>
  <c r="V9" i="2" s="1"/>
  <c r="W8" i="2" l="1"/>
  <c r="W9" i="2" l="1"/>
  <c r="W6" i="2"/>
  <c r="X8" i="2"/>
  <c r="X9" i="2" s="1"/>
  <c r="W7" i="2"/>
  <c r="Y8" i="2" l="1"/>
  <c r="Y9" i="2" s="1"/>
  <c r="Z8" i="2" l="1"/>
  <c r="Z9" i="2" s="1"/>
  <c r="AA8" i="2" l="1"/>
  <c r="AA9" i="2" s="1"/>
  <c r="AB8" i="2" l="1"/>
  <c r="AB9" i="2" s="1"/>
  <c r="AC8" i="2" l="1"/>
  <c r="AC9" i="2" s="1"/>
  <c r="AD8" i="2" l="1"/>
  <c r="AD9" i="2" l="1"/>
  <c r="AD6" i="2"/>
  <c r="AE8" i="2"/>
  <c r="AE9" i="2" s="1"/>
  <c r="AD7" i="2"/>
  <c r="AF8" i="2" l="1"/>
  <c r="AF9" i="2" s="1"/>
  <c r="AG8" i="2" l="1"/>
  <c r="AG9" i="2" s="1"/>
  <c r="AH8" i="2" l="1"/>
  <c r="AH9" i="2" s="1"/>
  <c r="AI8" i="2" l="1"/>
  <c r="AI9" i="2" s="1"/>
  <c r="AJ8" i="2" l="1"/>
  <c r="AJ9" i="2" s="1"/>
  <c r="AK8" i="2" l="1"/>
  <c r="AK9" i="2" l="1"/>
  <c r="AK6" i="2"/>
  <c r="AK7" i="2"/>
  <c r="AL8" i="2"/>
  <c r="AL9" i="2" s="1"/>
  <c r="AM8" i="2" l="1"/>
  <c r="AM9" i="2" s="1"/>
  <c r="AN8" i="2" l="1"/>
  <c r="AN9" i="2" s="1"/>
  <c r="AO8" i="2" l="1"/>
  <c r="AO9" i="2" s="1"/>
  <c r="AP8" i="2" l="1"/>
  <c r="AP9" i="2" s="1"/>
  <c r="AQ8" i="2" l="1"/>
  <c r="AQ9" i="2" s="1"/>
  <c r="AR8" i="2" l="1"/>
  <c r="AR9" i="2" l="1"/>
  <c r="AR6" i="2"/>
  <c r="AR7" i="2"/>
  <c r="AS8" i="2"/>
  <c r="AS9" i="2" s="1"/>
  <c r="AT8" i="2" l="1"/>
  <c r="AT9" i="2" s="1"/>
  <c r="AU8" i="2" l="1"/>
  <c r="AU9" i="2" s="1"/>
  <c r="AV8" i="2" l="1"/>
  <c r="AV9" i="2" s="1"/>
  <c r="AW8" i="2" l="1"/>
  <c r="AW9" i="2" s="1"/>
  <c r="AX8" i="2" l="1"/>
  <c r="AX9" i="2" s="1"/>
  <c r="AY8" i="2" l="1"/>
  <c r="AY9" i="2" l="1"/>
  <c r="AY6" i="2"/>
  <c r="AY7" i="2"/>
  <c r="AZ8" i="2"/>
  <c r="AZ9" i="2" s="1"/>
  <c r="BA8" i="2" l="1"/>
  <c r="BA9" i="2" s="1"/>
  <c r="BB8" i="2" l="1"/>
  <c r="BB9" i="2" s="1"/>
  <c r="BC8" i="2" l="1"/>
  <c r="BC9" i="2" s="1"/>
  <c r="BD8" i="2" l="1"/>
  <c r="BD9" i="2" s="1"/>
  <c r="BE8" i="2" l="1"/>
  <c r="BE9" i="2" s="1"/>
  <c r="BF8" i="2" l="1"/>
  <c r="BF9" i="2" l="1"/>
  <c r="BF6" i="2"/>
  <c r="BG8" i="2"/>
  <c r="BG9" i="2" s="1"/>
  <c r="BF7" i="2"/>
  <c r="BH8" i="2" l="1"/>
  <c r="BH9" i="2" s="1"/>
  <c r="BI8" i="2" l="1"/>
  <c r="BI9" i="2" s="1"/>
  <c r="BJ8" i="2" l="1"/>
  <c r="BJ9" i="2" s="1"/>
  <c r="BK8" i="2" l="1"/>
  <c r="BK9" i="2" s="1"/>
  <c r="BL8" i="2" l="1"/>
  <c r="BL9" i="2" s="1"/>
  <c r="BM8" i="2" l="1"/>
  <c r="BM9" i="2" l="1"/>
  <c r="BM6" i="2"/>
  <c r="BM7" i="2"/>
  <c r="BN8" i="2"/>
  <c r="BN9" i="2" s="1"/>
  <c r="BO8" i="2" l="1"/>
  <c r="BO9" i="2" s="1"/>
  <c r="BP8" i="2" l="1"/>
  <c r="BP9" i="2" s="1"/>
  <c r="BQ8" i="2" l="1"/>
  <c r="BQ9" i="2" s="1"/>
  <c r="BR8" i="2" l="1"/>
  <c r="BR9" i="2" s="1"/>
  <c r="BS8" i="2" l="1"/>
  <c r="BS9" i="2" s="1"/>
  <c r="BT8" i="2" l="1"/>
  <c r="BT9" i="2" l="1"/>
  <c r="BT6" i="2"/>
  <c r="BT7" i="2"/>
  <c r="BU8" i="2"/>
  <c r="BU9" i="2" s="1"/>
  <c r="BV8" i="2" l="1"/>
  <c r="BV9" i="2" s="1"/>
  <c r="BW8" i="2" l="1"/>
  <c r="BW9" i="2" s="1"/>
  <c r="BX8" i="2" l="1"/>
  <c r="BX9" i="2" s="1"/>
  <c r="BY8" i="2" l="1"/>
  <c r="BY9" i="2" s="1"/>
  <c r="BZ8" i="2" l="1"/>
  <c r="BZ9" i="2" s="1"/>
  <c r="CA8" i="2" l="1"/>
  <c r="CA9" i="2" l="1"/>
  <c r="CA6" i="2"/>
  <c r="CB8" i="2"/>
  <c r="CB9" i="2" s="1"/>
  <c r="CA7" i="2"/>
  <c r="CC8" i="2" l="1"/>
  <c r="CC9" i="2" s="1"/>
  <c r="CD8" i="2" l="1"/>
  <c r="CD9" i="2" s="1"/>
  <c r="CE8" i="2" l="1"/>
  <c r="CE9" i="2" s="1"/>
  <c r="CF8" i="2" l="1"/>
  <c r="CF9" i="2" s="1"/>
  <c r="CG8" i="2" l="1"/>
  <c r="CG9" i="2" s="1"/>
  <c r="CH8" i="2" l="1"/>
  <c r="CH9" i="2" l="1"/>
  <c r="CH6" i="2"/>
  <c r="CH7" i="2"/>
  <c r="CI8" i="2"/>
  <c r="CI9" i="2" s="1"/>
  <c r="CJ8" i="2" l="1"/>
  <c r="CJ9" i="2" s="1"/>
  <c r="CK8" i="2" l="1"/>
  <c r="CK9" i="2" s="1"/>
  <c r="CL8" i="2" l="1"/>
  <c r="CL9" i="2" s="1"/>
  <c r="CM8" i="2" l="1"/>
  <c r="CM9" i="2" s="1"/>
  <c r="CN8" i="2" l="1"/>
  <c r="CN9" i="2" s="1"/>
  <c r="CO8" i="2" l="1"/>
  <c r="CO9" i="2" l="1"/>
  <c r="CO6" i="2"/>
  <c r="CP8" i="2"/>
  <c r="CP9" i="2" s="1"/>
  <c r="CO7" i="2"/>
  <c r="CQ8" i="2" l="1"/>
  <c r="CQ9" i="2" s="1"/>
  <c r="CR8" i="2" l="1"/>
  <c r="CR9" i="2" s="1"/>
  <c r="CS8" i="2" l="1"/>
  <c r="CS9" i="2" s="1"/>
  <c r="CT8" i="2" l="1"/>
  <c r="CT9" i="2" s="1"/>
  <c r="CU8" i="2" l="1"/>
  <c r="CU9" i="2" s="1"/>
  <c r="CV8" i="2" l="1"/>
  <c r="CV9" i="2" l="1"/>
  <c r="CV6" i="2"/>
  <c r="CW8" i="2"/>
  <c r="CW9" i="2" s="1"/>
  <c r="CV7" i="2"/>
  <c r="CX8" i="2" l="1"/>
  <c r="CX9" i="2" s="1"/>
  <c r="CY8" i="2" l="1"/>
  <c r="CY9" i="2" s="1"/>
  <c r="CZ8" i="2" l="1"/>
  <c r="CZ9" i="2" s="1"/>
  <c r="DA8" i="2" l="1"/>
  <c r="DA9" i="2" s="1"/>
  <c r="DB8" i="2" l="1"/>
  <c r="DB9" i="2" s="1"/>
  <c r="DC8" i="2" l="1"/>
  <c r="DC9" i="2" l="1"/>
  <c r="DC6" i="2"/>
  <c r="DD8" i="2"/>
  <c r="DD9" i="2" s="1"/>
  <c r="DC7" i="2"/>
  <c r="DE8" i="2" l="1"/>
  <c r="DE9" i="2" s="1"/>
  <c r="DF8" i="2" l="1"/>
  <c r="DF9" i="2" s="1"/>
  <c r="DG8" i="2" l="1"/>
  <c r="DG9" i="2" s="1"/>
  <c r="DH8" i="2" l="1"/>
  <c r="DH9" i="2" s="1"/>
  <c r="DI8" i="2" l="1"/>
  <c r="DI9" i="2" s="1"/>
  <c r="DJ8" i="2" l="1"/>
  <c r="DJ9" i="2" l="1"/>
  <c r="DJ6" i="2"/>
  <c r="DK8" i="2"/>
  <c r="DK9" i="2" s="1"/>
  <c r="DJ7" i="2"/>
  <c r="DL8" i="2" l="1"/>
  <c r="DL9" i="2" s="1"/>
  <c r="DM8" i="2" l="1"/>
  <c r="DM9" i="2" s="1"/>
  <c r="DN8" i="2" l="1"/>
  <c r="DN9" i="2" s="1"/>
  <c r="DO8" i="2" l="1"/>
  <c r="DO9" i="2" s="1"/>
  <c r="DP8" i="2" l="1"/>
  <c r="DP9" i="2" s="1"/>
  <c r="DQ8" i="2" l="1"/>
  <c r="DQ9" i="2" l="1"/>
  <c r="DQ6" i="2"/>
  <c r="DR8" i="2"/>
  <c r="DR9" i="2" s="1"/>
  <c r="DQ7" i="2"/>
  <c r="DS8" i="2" l="1"/>
  <c r="DS9" i="2" s="1"/>
  <c r="DT8" i="2" l="1"/>
  <c r="DT9" i="2" s="1"/>
  <c r="DU8" i="2" l="1"/>
  <c r="DU9" i="2" s="1"/>
  <c r="DV8" i="2" l="1"/>
  <c r="DV9" i="2" s="1"/>
  <c r="DW8" i="2" l="1"/>
  <c r="DW9" i="2" s="1"/>
  <c r="DX8" i="2" l="1"/>
  <c r="DX6" i="2" l="1"/>
  <c r="DX9" i="2"/>
  <c r="DY8" i="2"/>
  <c r="DY9" i="2" s="1"/>
  <c r="DX7" i="2"/>
  <c r="DZ8" i="2" l="1"/>
  <c r="DZ9" i="2" s="1"/>
  <c r="EA8" i="2" l="1"/>
  <c r="EA9" i="2" s="1"/>
  <c r="EB8" i="2" l="1"/>
  <c r="EB9" i="2" s="1"/>
  <c r="EC8" i="2" l="1"/>
  <c r="EC9" i="2" s="1"/>
  <c r="ED8" i="2" l="1"/>
  <c r="ED9" i="2" s="1"/>
  <c r="EE8" i="2" l="1"/>
  <c r="EE9" i="2" l="1"/>
  <c r="EE6" i="2"/>
  <c r="EF8" i="2"/>
  <c r="EF9" i="2" s="1"/>
  <c r="EE7" i="2"/>
  <c r="EG8" i="2" l="1"/>
  <c r="EG9" i="2" s="1"/>
  <c r="EH8" i="2" l="1"/>
  <c r="EH9" i="2" s="1"/>
  <c r="EI8" i="2" l="1"/>
  <c r="EI9" i="2" s="1"/>
  <c r="EJ8" i="2" l="1"/>
  <c r="EJ9" i="2" s="1"/>
  <c r="EK8" i="2" l="1"/>
  <c r="EK9" i="2" s="1"/>
  <c r="EL8" i="2" l="1"/>
  <c r="EL9" i="2" l="1"/>
  <c r="EL6" i="2"/>
  <c r="EM8" i="2"/>
  <c r="EM9" i="2" s="1"/>
  <c r="EL7" i="2"/>
  <c r="EN8" i="2" l="1"/>
  <c r="EN9" i="2" s="1"/>
  <c r="EO8" i="2" l="1"/>
  <c r="EO9" i="2" s="1"/>
  <c r="EP8" i="2" l="1"/>
  <c r="EP9" i="2" s="1"/>
  <c r="EQ8" i="2" l="1"/>
  <c r="EQ9" i="2" s="1"/>
  <c r="ER8" i="2" l="1"/>
  <c r="ER9" i="2" s="1"/>
  <c r="ES8" i="2" l="1"/>
  <c r="ES9" i="2" l="1"/>
  <c r="ES6" i="2"/>
  <c r="ET8" i="2"/>
  <c r="ET9" i="2" s="1"/>
  <c r="ES7" i="2"/>
  <c r="EU8" i="2" l="1"/>
  <c r="EU9" i="2" s="1"/>
  <c r="EV8" i="2" l="1"/>
  <c r="EV9" i="2" s="1"/>
  <c r="EW8" i="2" l="1"/>
  <c r="EW9" i="2" s="1"/>
  <c r="EX8" i="2" l="1"/>
  <c r="EX9" i="2" s="1"/>
  <c r="EY8" i="2" l="1"/>
  <c r="EY9" i="2" s="1"/>
  <c r="EZ8" i="2" l="1"/>
  <c r="EZ9" i="2" l="1"/>
  <c r="EZ6" i="2"/>
  <c r="FA8" i="2"/>
  <c r="FA9" i="2" s="1"/>
  <c r="EZ7" i="2"/>
  <c r="FB8" i="2" l="1"/>
  <c r="FB9" i="2" s="1"/>
  <c r="FC8" i="2" l="1"/>
  <c r="FC9" i="2" s="1"/>
  <c r="FD8" i="2" l="1"/>
  <c r="FD9" i="2" s="1"/>
  <c r="FE8" i="2" l="1"/>
  <c r="FE9" i="2" s="1"/>
  <c r="FF8" i="2" l="1"/>
  <c r="FF9" i="2" s="1"/>
  <c r="FG8" i="2" l="1"/>
  <c r="FG9" i="2" l="1"/>
  <c r="FG6" i="2"/>
  <c r="FH8" i="2"/>
  <c r="FH9" i="2" s="1"/>
  <c r="FG7" i="2"/>
  <c r="FI8" i="2" l="1"/>
  <c r="FI9" i="2" s="1"/>
  <c r="FJ8" i="2" l="1"/>
  <c r="FJ9" i="2" s="1"/>
  <c r="FK8" i="2" l="1"/>
  <c r="FK9" i="2" s="1"/>
  <c r="FL8" i="2" l="1"/>
  <c r="FL9" i="2" s="1"/>
  <c r="FM8" i="2" l="1"/>
  <c r="FM9" i="2" s="1"/>
</calcChain>
</file>

<file path=xl/sharedStrings.xml><?xml version="1.0" encoding="utf-8"?>
<sst xmlns="http://schemas.openxmlformats.org/spreadsheetml/2006/main" count="210" uniqueCount="133">
  <si>
    <t>Email</t>
  </si>
  <si>
    <t>Basisinformationen</t>
  </si>
  <si>
    <t>1.3</t>
  </si>
  <si>
    <t>1.2</t>
  </si>
  <si>
    <t>1.1</t>
  </si>
  <si>
    <t>1.0</t>
  </si>
  <si>
    <t>1</t>
  </si>
  <si>
    <t>2.1</t>
  </si>
  <si>
    <t>2.2</t>
  </si>
  <si>
    <t>2.3</t>
  </si>
  <si>
    <t>2.4</t>
  </si>
  <si>
    <t>2.5</t>
  </si>
  <si>
    <t>2.6</t>
  </si>
  <si>
    <t>3.1</t>
  </si>
  <si>
    <t>3.2</t>
  </si>
  <si>
    <t>3.3</t>
  </si>
  <si>
    <t>3.4</t>
  </si>
  <si>
    <t>3.5</t>
  </si>
  <si>
    <t>4.1</t>
  </si>
  <si>
    <t>4.2</t>
  </si>
  <si>
    <t>4.3</t>
  </si>
  <si>
    <t>4.4</t>
  </si>
  <si>
    <t>4.5</t>
  </si>
  <si>
    <t>1.4</t>
  </si>
  <si>
    <t>Deadline</t>
  </si>
  <si>
    <t>Manager</t>
  </si>
  <si>
    <t>Date de début</t>
  </si>
  <si>
    <t>Date de fin prévue</t>
  </si>
  <si>
    <t>Date d'aujourd'hui</t>
  </si>
  <si>
    <t>Affichage de la semaine de lancement</t>
  </si>
  <si>
    <t xml:space="preserve">Semaine numéro : </t>
  </si>
  <si>
    <t>Element PSP</t>
  </si>
  <si>
    <t>Tâche / Paquet de travail</t>
  </si>
  <si>
    <t>Editeur</t>
  </si>
  <si>
    <t>Commentaires</t>
  </si>
  <si>
    <t>Début</t>
  </si>
  <si>
    <t>Progression</t>
  </si>
  <si>
    <t>Equipe du projet</t>
  </si>
  <si>
    <t>Nom</t>
  </si>
  <si>
    <t>Numéro de téléphone</t>
  </si>
  <si>
    <t>Nom du projet</t>
  </si>
  <si>
    <t>Nom du manager</t>
  </si>
  <si>
    <t>Date de lancement</t>
  </si>
  <si>
    <t xml:space="preserve">                    Planification projet (Diagramme de Gantt)</t>
  </si>
  <si>
    <t>Présentation de la SAE</t>
  </si>
  <si>
    <t>Présentation en amphi</t>
  </si>
  <si>
    <t>Durée (H)</t>
  </si>
  <si>
    <t>Belkouch</t>
  </si>
  <si>
    <t>----------</t>
  </si>
  <si>
    <t>Hammami Yassine</t>
  </si>
  <si>
    <t>Boulahyan Bilal</t>
  </si>
  <si>
    <t>Écriture et lecture de fichiers de données</t>
  </si>
  <si>
    <t>yassine.hammami@univ-lille.fr</t>
  </si>
  <si>
    <t>bilal.boulahyan@univ-lille.fr</t>
  </si>
  <si>
    <t>c.c@univ-lille.fr</t>
  </si>
  <si>
    <t>Boulahyan Bilal, Hammami Yassine</t>
  </si>
  <si>
    <t>travail preparatoire</t>
  </si>
  <si>
    <t xml:space="preserve">livrable 1 </t>
  </si>
  <si>
    <t>livrable 2</t>
  </si>
  <si>
    <t>étude et analyse des donnée</t>
  </si>
  <si>
    <t>Description des données et préparation du travail</t>
  </si>
  <si>
    <t>Analyse de données, Reporting et Datavisualisation</t>
  </si>
  <si>
    <t>livrable 3</t>
  </si>
  <si>
    <t>Début du programme python, mise à jour des documents</t>
  </si>
  <si>
    <t>Fichier "spécifications"</t>
  </si>
  <si>
    <t>Suite du programme python pour le rendu</t>
  </si>
  <si>
    <t>Finalisation du programme et correction des bugs</t>
  </si>
  <si>
    <t>Séance SAE</t>
  </si>
  <si>
    <t>Correction du programme python sans pandas</t>
  </si>
  <si>
    <t>Modélisation plus claire du fichier spécifications</t>
  </si>
  <si>
    <t xml:space="preserve">Création de paramètres optionnels dans les fonctions </t>
  </si>
  <si>
    <t>Finalisation du fichier spécification</t>
  </si>
  <si>
    <t>Livrable 4 (80% feuille 2)</t>
  </si>
  <si>
    <t>Finalisation du code python et création d'un fichier "Résultat script"</t>
  </si>
  <si>
    <t>Continiuité du code python, modification de la fonction filtre pour la rendre multiple</t>
  </si>
  <si>
    <t>Livrable 5 (100% feuille 2)</t>
  </si>
  <si>
    <t>Finalisation des dernières fonction, revues du code et perfection du programme</t>
  </si>
  <si>
    <t>Mise en place d'une nouvelle fonction "renommer_variables" dans le fichier "spécifications"</t>
  </si>
  <si>
    <t>Réflexion sur la fonction "renommer_variables" et début de sa programmation</t>
  </si>
  <si>
    <t>Tests de la fonction "renommer_variables", programmation des fonctions "keep_var" et "drop_var" et leur mise en place dans le fichier "spécifications"</t>
  </si>
  <si>
    <t>Livrable 7  (100% feuille 3)</t>
  </si>
  <si>
    <t>Création des fonctions détectant l'anomalie (valeurs manquantes..)</t>
  </si>
  <si>
    <t>Mise en place des fonctions dans le fichier "spécifications"</t>
  </si>
  <si>
    <t>Réflexion sur les fonctions prennant en charge l'anomalie</t>
  </si>
  <si>
    <t>Reprise des données pour les futures fonctions</t>
  </si>
  <si>
    <t>Finalisation des fonctions "nbvide" "valeur_aberante" "nb_erreur" "corriger_anomalie" "ecarter_anomalie"</t>
  </si>
  <si>
    <t>Livrable 8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</si>
  <si>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</si>
  <si>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</si>
  <si>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</si>
  <si>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</si>
  <si>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</si>
  <si>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</si>
  <si>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</si>
  <si>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</si>
  <si>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</si>
  <si>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Ajout des fonctions "moyenne", "écart-type", "médiane", "quartiles" dans le code et dans le fichier "spécifications" en adaptant la fonction describe</t>
  </si>
  <si>
    <t>Ajout de la fonction "obtenir_valeurs" et "describe" dans le code et le fichier "spécifications"</t>
  </si>
  <si>
    <t>Ajout des fonctions "exportation_fich" et "fusionner_donnees" ainsi que leurs ajouts dans le fichier "spécifications"</t>
  </si>
  <si>
    <t>Modification de la fonction "fusionner_donnees" pour régler les éventuelles erreurs</t>
  </si>
  <si>
    <t>Suppression des fonctions d'indicateurs statistiques ("moyenne","écart-type","médiane","quartiles") pour les implémenter dans une fonction describe grâce à la bibliothèque "statistics"</t>
  </si>
  <si>
    <t>Travail sur les futures fonctions de tableaux</t>
  </si>
  <si>
    <t>Livrable 9</t>
  </si>
  <si>
    <t>Brainstorming des tableaux statistiques</t>
  </si>
  <si>
    <t>Mise en place d'un fichier pdf contenant les différents tableaux statistiques nécessaires</t>
  </si>
  <si>
    <t>Études des choses à améliorer avec le Manager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</si>
  <si>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</si>
  <si>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</si>
  <si>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</si>
  <si>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</si>
  <si>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</si>
  <si>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</si>
  <si>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</si>
  <si>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</si>
  <si>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</si>
  <si>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</si>
  <si>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</si>
  <si>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Études d'autres tableaux statistiques sur le site de la CIC</t>
  </si>
  <si>
    <t>Travail sur le le programme pour débugger certaines fonction</t>
  </si>
  <si>
    <t>Fonction "statistiques", correction finale de "fusionner_donnees"</t>
  </si>
  <si>
    <t>Travail sur le fichier "spécifications"</t>
  </si>
  <si>
    <t>Livrable 10 (100% feuille route 4)</t>
  </si>
  <si>
    <t>Travail sur le fichier "spécifications" et réflexion sur la fonction "obtenir_valeurs"</t>
  </si>
  <si>
    <t>Modification de la fonction "obtenir_valeurs" en "obtenir_valeurs_modalite" et développement d'une fonction "statistique"</t>
  </si>
  <si>
    <t>Rédaction des tableaux statistiques avec python</t>
  </si>
  <si>
    <t>Livrable feuille de route 5</t>
  </si>
  <si>
    <t>4.26</t>
  </si>
  <si>
    <t>4.27</t>
  </si>
  <si>
    <t>Rédaction et modification du fichier spécification</t>
  </si>
  <si>
    <t>Finalisation du code python et travail sur jupyter</t>
  </si>
  <si>
    <t>Fin du travail sur jupyter, remodelage de l'affichage du fichier html</t>
  </si>
  <si>
    <t>Total</t>
  </si>
  <si>
    <t>Tri des fonctions sur le fichier python selon le fichier spécifications, résultat 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</si>
</sst>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/mm/yy;@"/>
    <numFmt numFmtId="165" formatCode="d"/>
    <numFmt numFmtId="166" formatCode="0.0"/>
    <numFmt numFmtId="167" formatCode="[$-F800]dddd\,\ mmmm\ dd\,\ yyyy"/>
  </numFmts>
  <fonts count="14" x14ac:knownFonts="1">
    <font>
      <sz val="12"/>
      <color theme="1"/>
      <name val="Calibri"/>
      <family val="2"/>
      <scheme val="minor"/>
    </font>
    <font>
      <b/>
      <sz val="36"/>
      <color rgb="FF244D80"/>
      <name val="Calibri"/>
      <family val="2"/>
      <scheme val="minor"/>
    </font>
    <font>
      <sz val="12"/>
      <color theme="1"/>
      <name val="Arial"/>
      <family val="2"/>
    </font>
    <font>
      <sz val="14"/>
      <color theme="0"/>
      <name val="Arial"/>
      <family val="2"/>
    </font>
    <font>
      <u/>
      <sz val="12"/>
      <color theme="10"/>
      <name val="Calibri"/>
      <family val="2"/>
      <scheme val="minor"/>
    </font>
    <font>
      <sz val="14"/>
      <color rgb="FF244D80"/>
      <name val="Arial"/>
      <family val="2"/>
    </font>
    <font>
      <sz val="12"/>
      <color rgb="FF244D80"/>
      <name val="Arial"/>
      <family val="2"/>
    </font>
    <font>
      <b/>
      <sz val="12"/>
      <color rgb="FF244D80"/>
      <name val="Arial"/>
      <family val="2"/>
    </font>
    <font>
      <sz val="9"/>
      <color rgb="FF244D80"/>
      <name val="Arial"/>
      <family val="2"/>
    </font>
    <font>
      <sz val="12"/>
      <name val="Arial"/>
      <family val="2"/>
    </font>
    <font>
      <sz val="12"/>
      <color theme="0"/>
      <name val="Arial"/>
      <family val="2"/>
    </font>
    <font>
      <b/>
      <sz val="14"/>
      <color rgb="FF244D80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44D8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63A40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rgb="FF244D80"/>
      </left>
      <right style="medium">
        <color rgb="FF244D80"/>
      </right>
      <top style="medium">
        <color rgb="FF244D80"/>
      </top>
      <bottom style="medium">
        <color rgb="FF244D80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2" borderId="0" xfId="0" applyFont="1" applyFill="1"/>
    <xf numFmtId="0" fontId="2" fillId="3" borderId="0" xfId="0" applyFont="1" applyFill="1"/>
    <xf numFmtId="0" fontId="2" fillId="0" borderId="1" xfId="0" applyFont="1" applyBorder="1"/>
    <xf numFmtId="0" fontId="2" fillId="4" borderId="0" xfId="0" applyFont="1" applyFill="1"/>
    <xf numFmtId="165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4" borderId="0" xfId="0" applyFont="1" applyFill="1"/>
    <xf numFmtId="165" fontId="8" fillId="0" borderId="0" xfId="0" applyNumberFormat="1" applyFont="1" applyAlignment="1">
      <alignment horizontal="center"/>
    </xf>
    <xf numFmtId="0" fontId="9" fillId="4" borderId="9" xfId="0" applyFont="1" applyFill="1" applyBorder="1"/>
    <xf numFmtId="0" fontId="9" fillId="4" borderId="6" xfId="0" applyFont="1" applyFill="1" applyBorder="1"/>
    <xf numFmtId="0" fontId="2" fillId="4" borderId="0" xfId="0" applyFont="1" applyFill="1" applyProtection="1">
      <protection locked="0"/>
    </xf>
    <xf numFmtId="0" fontId="11" fillId="4" borderId="0" xfId="0" applyFont="1" applyFill="1" applyProtection="1">
      <protection locked="0"/>
    </xf>
    <xf numFmtId="0" fontId="6" fillId="4" borderId="0" xfId="0" applyFont="1" applyFill="1" applyProtection="1">
      <protection locked="0"/>
    </xf>
    <xf numFmtId="0" fontId="2" fillId="0" borderId="0" xfId="0" applyFont="1" applyProtection="1">
      <protection locked="0"/>
    </xf>
    <xf numFmtId="0" fontId="2" fillId="4" borderId="8" xfId="0" applyFont="1" applyFill="1" applyBorder="1" applyProtection="1">
      <protection locked="0"/>
    </xf>
    <xf numFmtId="0" fontId="7" fillId="4" borderId="0" xfId="0" applyFont="1" applyFill="1" applyAlignment="1" applyProtection="1">
      <alignment horizontal="center"/>
      <protection locked="0"/>
    </xf>
    <xf numFmtId="0" fontId="7" fillId="4" borderId="8" xfId="0" applyFont="1" applyFill="1" applyBorder="1" applyAlignment="1" applyProtection="1">
      <alignment horizontal="center"/>
      <protection locked="0"/>
    </xf>
    <xf numFmtId="0" fontId="7" fillId="3" borderId="0" xfId="0" applyFont="1" applyFill="1" applyProtection="1">
      <protection locked="0"/>
    </xf>
    <xf numFmtId="0" fontId="7" fillId="3" borderId="0" xfId="0" applyFont="1" applyFill="1" applyAlignment="1" applyProtection="1">
      <alignment horizontal="center"/>
      <protection locked="0"/>
    </xf>
    <xf numFmtId="14" fontId="7" fillId="3" borderId="0" xfId="0" applyNumberFormat="1" applyFont="1" applyFill="1" applyProtection="1">
      <protection locked="0"/>
    </xf>
    <xf numFmtId="9" fontId="6" fillId="3" borderId="8" xfId="0" applyNumberFormat="1" applyFont="1" applyFill="1" applyBorder="1" applyProtection="1">
      <protection locked="0"/>
    </xf>
    <xf numFmtId="49" fontId="2" fillId="0" borderId="2" xfId="0" applyNumberFormat="1" applyFont="1" applyBorder="1" applyProtection="1">
      <protection locked="0"/>
    </xf>
    <xf numFmtId="0" fontId="2" fillId="0" borderId="2" xfId="0" applyFont="1" applyBorder="1" applyProtection="1">
      <protection locked="0"/>
    </xf>
    <xf numFmtId="14" fontId="2" fillId="0" borderId="2" xfId="0" applyNumberFormat="1" applyFont="1" applyBorder="1" applyProtection="1">
      <protection locked="0"/>
    </xf>
    <xf numFmtId="9" fontId="2" fillId="0" borderId="2" xfId="0" applyNumberFormat="1" applyFont="1" applyBorder="1" applyProtection="1">
      <protection locked="0"/>
    </xf>
    <xf numFmtId="9" fontId="2" fillId="0" borderId="7" xfId="0" applyNumberFormat="1" applyFont="1" applyBorder="1" applyProtection="1">
      <protection locked="0"/>
    </xf>
    <xf numFmtId="0" fontId="7" fillId="3" borderId="0" xfId="0" applyFont="1" applyFill="1" applyAlignment="1" applyProtection="1">
      <alignment horizontal="left"/>
      <protection locked="0"/>
    </xf>
    <xf numFmtId="0" fontId="2" fillId="4" borderId="5" xfId="0" applyFont="1" applyFill="1" applyBorder="1" applyAlignment="1">
      <alignment horizontal="right"/>
    </xf>
    <xf numFmtId="164" fontId="2" fillId="4" borderId="5" xfId="0" applyNumberFormat="1" applyFont="1" applyFill="1" applyBorder="1"/>
    <xf numFmtId="14" fontId="2" fillId="4" borderId="5" xfId="0" applyNumberFormat="1" applyFont="1" applyFill="1" applyBorder="1"/>
    <xf numFmtId="0" fontId="6" fillId="4" borderId="0" xfId="0" applyFont="1" applyFill="1"/>
    <xf numFmtId="0" fontId="7" fillId="4" borderId="0" xfId="0" applyFont="1" applyFill="1" applyAlignment="1">
      <alignment horizontal="center"/>
    </xf>
    <xf numFmtId="164" fontId="7" fillId="3" borderId="0" xfId="0" applyNumberFormat="1" applyFont="1" applyFill="1"/>
    <xf numFmtId="164" fontId="2" fillId="0" borderId="2" xfId="0" applyNumberFormat="1" applyFont="1" applyBorder="1"/>
    <xf numFmtId="0" fontId="0" fillId="4" borderId="0" xfId="0" applyFill="1"/>
    <xf numFmtId="0" fontId="3" fillId="5" borderId="0" xfId="0" applyFont="1" applyFill="1"/>
    <xf numFmtId="0" fontId="2" fillId="4" borderId="10" xfId="0" applyFont="1" applyFill="1" applyBorder="1" applyAlignment="1">
      <alignment horizontal="right"/>
    </xf>
    <xf numFmtId="0" fontId="3" fillId="4" borderId="0" xfId="0" applyFont="1" applyFill="1"/>
    <xf numFmtId="0" fontId="5" fillId="4" borderId="0" xfId="0" applyFont="1" applyFill="1" applyProtection="1">
      <protection locked="0"/>
    </xf>
    <xf numFmtId="0" fontId="3" fillId="5" borderId="3" xfId="0" applyFont="1" applyFill="1" applyBorder="1" applyProtection="1">
      <protection locked="0"/>
    </xf>
    <xf numFmtId="9" fontId="2" fillId="4" borderId="0" xfId="2" applyFont="1" applyFill="1" applyBorder="1"/>
    <xf numFmtId="166" fontId="2" fillId="0" borderId="2" xfId="0" applyNumberFormat="1" applyFont="1" applyBorder="1" applyProtection="1">
      <protection locked="0"/>
    </xf>
    <xf numFmtId="0" fontId="2" fillId="4" borderId="10" xfId="0" applyFont="1" applyFill="1" applyBorder="1" applyAlignment="1">
      <alignment horizontal="right" wrapText="1"/>
    </xf>
    <xf numFmtId="0" fontId="2" fillId="0" borderId="2" xfId="0" applyFont="1" applyBorder="1" applyAlignment="1" applyProtection="1">
      <alignment wrapText="1"/>
      <protection locked="0"/>
    </xf>
    <xf numFmtId="0" fontId="7" fillId="3" borderId="0" xfId="0" applyFont="1" applyFill="1" applyAlignment="1" applyProtection="1">
      <alignment horizontal="center" wrapText="1"/>
      <protection locked="0"/>
    </xf>
    <xf numFmtId="14" fontId="10" fillId="5" borderId="5" xfId="0" quotePrefix="1" applyNumberFormat="1" applyFont="1" applyFill="1" applyBorder="1"/>
    <xf numFmtId="167" fontId="2" fillId="4" borderId="10" xfId="0" applyNumberFormat="1" applyFont="1" applyFill="1" applyBorder="1" applyAlignment="1">
      <alignment horizontal="right"/>
    </xf>
    <xf numFmtId="49" fontId="2" fillId="0" borderId="7" xfId="0" applyNumberFormat="1" applyFont="1" applyBorder="1" applyProtection="1">
      <protection locked="0"/>
    </xf>
    <xf numFmtId="164" fontId="2" fillId="0" borderId="11" xfId="0" applyNumberFormat="1" applyFont="1" applyBorder="1"/>
    <xf numFmtId="0" fontId="4" fillId="0" borderId="0" xfId="1" applyFill="1"/>
    <xf numFmtId="0" fontId="2" fillId="0" borderId="2" xfId="0" applyFont="1" applyBorder="1" applyAlignment="1" applyProtection="1">
      <alignment horizontal="center" vertical="center"/>
      <protection locked="0"/>
    </xf>
    <xf numFmtId="14" fontId="2" fillId="0" borderId="2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wrapText="1"/>
      <protection locked="0"/>
    </xf>
    <xf numFmtId="0" fontId="2" fillId="4" borderId="0" xfId="0" applyFont="1" applyFill="1" applyAlignment="1">
      <alignment horizontal="right" wrapText="1"/>
    </xf>
    <xf numFmtId="164" fontId="2" fillId="4" borderId="0" xfId="0" applyNumberFormat="1" applyFont="1" applyFill="1" applyAlignment="1">
      <alignment wrapText="1"/>
    </xf>
    <xf numFmtId="14" fontId="2" fillId="4" borderId="0" xfId="0" applyNumberFormat="1" applyFont="1" applyFill="1" applyAlignment="1">
      <alignment wrapText="1"/>
    </xf>
    <xf numFmtId="14" fontId="10" fillId="5" borderId="0" xfId="0" applyNumberFormat="1" applyFont="1" applyFill="1" applyAlignment="1">
      <alignment wrapText="1"/>
    </xf>
    <xf numFmtId="0" fontId="7" fillId="4" borderId="0" xfId="0" applyFont="1" applyFill="1" applyAlignment="1" applyProtection="1">
      <alignment horizontal="center" wrapText="1"/>
      <protection locked="0"/>
    </xf>
    <xf numFmtId="0" fontId="2" fillId="0" borderId="7" xfId="0" applyFont="1" applyBorder="1" applyProtection="1">
      <protection locked="0"/>
    </xf>
    <xf numFmtId="0" fontId="2" fillId="0" borderId="11" xfId="0" applyFont="1" applyBorder="1" applyAlignment="1" applyProtection="1">
      <protection locked="0"/>
    </xf>
    <xf numFmtId="0" fontId="2" fillId="0" borderId="11" xfId="0" applyFont="1" applyBorder="1" applyAlignment="1" applyProtection="1">
      <alignment wrapText="1"/>
      <protection locked="0"/>
    </xf>
    <xf numFmtId="0" fontId="2" fillId="0" borderId="12" xfId="0" applyFont="1" applyBorder="1" applyProtection="1">
      <protection locked="0"/>
    </xf>
    <xf numFmtId="0" fontId="1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Lien hypertexte" xfId="1" builtinId="8"/>
    <cellStyle name="Normal" xfId="0" builtinId="0"/>
    <cellStyle name="Pourcentage" xfId="2" builtinId="5"/>
  </cellStyles>
  <dxfs count="30">
    <dxf>
      <font>
        <color rgb="FF9C0006"/>
      </font>
      <fill>
        <patternFill>
          <bgColor rgb="FF244D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5700"/>
      </font>
      <fill>
        <patternFill>
          <bgColor rgb="FFEF9C2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244D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5700"/>
      </font>
      <fill>
        <patternFill>
          <bgColor rgb="FFEF9C2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darkTrellis">
          <fgColor theme="0"/>
          <bgColor rgb="FFEF9C29"/>
        </patternFill>
      </fill>
      <border>
        <left style="thin">
          <color rgb="FFEF9C29"/>
        </left>
        <right style="thin">
          <color rgb="FFEF9C29"/>
        </right>
      </border>
    </dxf>
    <dxf>
      <font>
        <color rgb="FF9C5700"/>
      </font>
      <fill>
        <patternFill>
          <bgColor rgb="FFEF9C2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darkTrellis">
          <fgColor theme="0"/>
          <bgColor rgb="FFEF9C29"/>
        </patternFill>
      </fill>
      <border>
        <left style="thin">
          <color rgb="FFEF9C29"/>
        </left>
        <right style="thin">
          <color rgb="FFEF9C29"/>
        </right>
      </border>
    </dxf>
    <dxf>
      <font>
        <color rgb="FF9C5700"/>
      </font>
      <fill>
        <patternFill>
          <bgColor rgb="FFEF9C2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244D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244D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darkTrellis">
          <fgColor theme="0"/>
          <bgColor rgb="FFEF9C29"/>
        </patternFill>
      </fill>
      <border>
        <left style="thin">
          <color rgb="FFEF9C29"/>
        </left>
        <right style="thin">
          <color rgb="FFEF9C29"/>
        </right>
      </border>
    </dxf>
    <dxf>
      <font>
        <color auto="1"/>
      </font>
      <fill>
        <patternFill patternType="darkTrellis">
          <fgColor theme="0"/>
          <bgColor rgb="FFEF9C29"/>
        </patternFill>
      </fill>
      <border>
        <left style="thin">
          <color rgb="FFEF9C29"/>
        </left>
        <right style="thin">
          <color rgb="FFEF9C29"/>
        </right>
      </border>
    </dxf>
    <dxf>
      <font>
        <color rgb="FF9C5700"/>
      </font>
      <fill>
        <patternFill>
          <bgColor rgb="FFEF9C2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darkTrellis">
          <fgColor theme="0"/>
          <bgColor rgb="FFEF9C29"/>
        </patternFill>
      </fill>
      <border>
        <left style="thin">
          <color rgb="FFEF9C29"/>
        </left>
        <right style="thin">
          <color rgb="FFEF9C29"/>
        </right>
      </border>
    </dxf>
    <dxf>
      <font>
        <color rgb="FF9C5700"/>
      </font>
      <fill>
        <patternFill>
          <bgColor rgb="FFEF9C2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darkTrellis">
          <fgColor theme="0"/>
          <bgColor rgb="FFEF9C29"/>
        </patternFill>
      </fill>
      <border>
        <left style="thin">
          <color rgb="FFEF9C29"/>
        </left>
        <right style="thin">
          <color rgb="FFEF9C29"/>
        </right>
      </border>
    </dxf>
    <dxf>
      <font>
        <color rgb="FF9C5700"/>
      </font>
      <fill>
        <patternFill>
          <bgColor rgb="FFEF9C2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bgColor rgb="FFEF9C29"/>
        </patternFill>
      </fill>
    </dxf>
    <dxf>
      <font>
        <color auto="1"/>
      </font>
      <fill>
        <patternFill patternType="darkTrellis">
          <fgColor theme="0"/>
          <bgColor rgb="FFEF9C29"/>
        </patternFill>
      </fill>
      <border>
        <left style="thin">
          <color rgb="FFEF9C29"/>
        </left>
        <right style="thin">
          <color rgb="FFEF9C29"/>
        </right>
      </border>
    </dxf>
    <dxf>
      <font>
        <color rgb="FF9C0006"/>
      </font>
      <fill>
        <patternFill>
          <bgColor rgb="FF244D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244D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244D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244D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5700"/>
      </font>
      <fill>
        <patternFill>
          <bgColor rgb="FFEF9C2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scheme val="none"/>
      </font>
      <fill>
        <patternFill patternType="solid">
          <fgColor indexed="64"/>
          <bgColor rgb="FF363A40"/>
        </patternFill>
      </fill>
    </dxf>
    <dxf>
      <fill>
        <patternFill>
          <bgColor rgb="FFEF9C29"/>
        </patternFill>
      </fill>
    </dxf>
  </dxfs>
  <tableStyles count="1" defaultTableStyle="TableStyleMedium2" defaultPivotStyle="PivotStyleLight16">
    <tableStyle name="Tabellenformat 1" pivot="0" count="1" xr9:uid="{00000000-0011-0000-FFFF-FFFF00000000}">
      <tableStyleElement type="firstRowStripe" dxfId="29"/>
    </tableStyle>
  </tableStyles>
  <colors>
    <mruColors>
      <color rgb="FF363A40"/>
      <color rgb="FF68C6ED"/>
      <color rgb="FF244D80"/>
      <color rgb="FFEF9C2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ktteam" displayName="Projektteam" ref="D4:F10" totalsRowShown="0" headerRowDxfId="28" dataDxfId="27">
  <autoFilter ref="D4:F10" xr:uid="{00000000-0009-0000-0100-000001000000}"/>
  <tableColumns count="3">
    <tableColumn id="1" xr3:uid="{00000000-0010-0000-0000-000001000000}" name="Nom" dataDxfId="26"/>
    <tableColumn id="2" xr3:uid="{00000000-0010-0000-0000-000002000000}" name="Email" dataDxfId="25"/>
    <tableColumn id="3" xr3:uid="{00000000-0010-0000-0000-000003000000}" name="Numéro de téléphone" dataDxfId="24"/>
  </tableColumns>
  <tableStyleInfo name="Tabellenformat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.c@univ-lille.fr" TargetMode="External"/><Relationship Id="rId2" Type="http://schemas.openxmlformats.org/officeDocument/2006/relationships/hyperlink" Target="mailto:bilal.boulahyan@univ-lille.fr" TargetMode="External"/><Relationship Id="rId1" Type="http://schemas.openxmlformats.org/officeDocument/2006/relationships/hyperlink" Target="mailto:yassine.hammami@univ-lille.fr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4"/>
  <sheetViews>
    <sheetView zoomScale="115" zoomScaleNormal="115" workbookViewId="0">
      <selection activeCell="F17" sqref="F17"/>
    </sheetView>
  </sheetViews>
  <sheetFormatPr baseColWidth="10" defaultColWidth="10.625" defaultRowHeight="15.75" x14ac:dyDescent="0.25"/>
  <cols>
    <col min="1" max="1" width="25.875" customWidth="1"/>
    <col min="2" max="2" width="31.625" customWidth="1"/>
    <col min="3" max="3" width="5.125" customWidth="1"/>
    <col min="4" max="4" width="32.25" bestFit="1" customWidth="1"/>
    <col min="5" max="5" width="29" customWidth="1"/>
    <col min="6" max="6" width="27" customWidth="1"/>
    <col min="11" max="41" width="10.875" style="36"/>
  </cols>
  <sheetData>
    <row r="1" spans="1:10" ht="111.95" customHeight="1" x14ac:dyDescent="0.25">
      <c r="A1" s="65" t="s">
        <v>43</v>
      </c>
      <c r="B1" s="65"/>
      <c r="C1" s="65"/>
      <c r="D1" s="65"/>
      <c r="E1" s="65"/>
      <c r="F1" s="65"/>
      <c r="G1" s="65"/>
      <c r="H1" s="65"/>
      <c r="I1" s="65"/>
      <c r="J1" s="65"/>
    </row>
    <row r="2" spans="1:10" x14ac:dyDescent="0.25">
      <c r="A2" s="36"/>
      <c r="B2" s="36"/>
      <c r="C2" s="36"/>
      <c r="D2" s="5"/>
      <c r="E2" s="5"/>
      <c r="F2" s="5"/>
      <c r="G2" s="36"/>
      <c r="H2" s="36"/>
      <c r="I2" s="36"/>
      <c r="J2" s="36"/>
    </row>
    <row r="3" spans="1:10" ht="18.75" thickBot="1" x14ac:dyDescent="0.3">
      <c r="A3" s="39" t="s">
        <v>1</v>
      </c>
      <c r="B3" s="36"/>
      <c r="C3" s="36"/>
      <c r="D3" s="2" t="s">
        <v>37</v>
      </c>
      <c r="E3" s="2"/>
      <c r="F3" s="2"/>
      <c r="G3" s="36"/>
      <c r="H3" s="36"/>
      <c r="I3" s="36"/>
      <c r="J3" s="36"/>
    </row>
    <row r="4" spans="1:10" ht="31.5" thickBot="1" x14ac:dyDescent="0.3">
      <c r="A4" s="8" t="s">
        <v>40</v>
      </c>
      <c r="B4" s="44" t="s">
        <v>61</v>
      </c>
      <c r="C4" s="36"/>
      <c r="D4" s="37" t="s">
        <v>38</v>
      </c>
      <c r="E4" s="37" t="s">
        <v>0</v>
      </c>
      <c r="F4" s="37" t="s">
        <v>39</v>
      </c>
      <c r="G4" s="36"/>
      <c r="H4" s="36"/>
      <c r="I4" s="36"/>
      <c r="J4" s="36"/>
    </row>
    <row r="5" spans="1:10" ht="18.75" thickBot="1" x14ac:dyDescent="0.3">
      <c r="A5" s="8" t="s">
        <v>41</v>
      </c>
      <c r="B5" s="38" t="s">
        <v>47</v>
      </c>
      <c r="C5" s="36"/>
      <c r="D5" s="1" t="s">
        <v>49</v>
      </c>
      <c r="E5" s="51" t="s">
        <v>52</v>
      </c>
      <c r="F5" s="1"/>
      <c r="G5" s="36"/>
      <c r="H5" s="36"/>
      <c r="I5" s="36"/>
      <c r="J5" s="36"/>
    </row>
    <row r="6" spans="1:10" ht="18.75" thickBot="1" x14ac:dyDescent="0.3">
      <c r="A6" s="8" t="s">
        <v>42</v>
      </c>
      <c r="B6" s="48">
        <v>45720</v>
      </c>
      <c r="C6" s="36"/>
      <c r="D6" s="1" t="s">
        <v>50</v>
      </c>
      <c r="E6" s="51" t="s">
        <v>53</v>
      </c>
      <c r="F6" s="1"/>
      <c r="G6" s="36"/>
      <c r="H6" s="36"/>
      <c r="I6" s="36"/>
      <c r="J6" s="36"/>
    </row>
    <row r="7" spans="1:10" x14ac:dyDescent="0.25">
      <c r="A7" s="36"/>
      <c r="B7" s="36"/>
      <c r="C7" s="36"/>
      <c r="D7" s="1" t="s">
        <v>55</v>
      </c>
      <c r="E7" s="51" t="s">
        <v>54</v>
      </c>
      <c r="F7" s="1"/>
      <c r="G7" s="36"/>
      <c r="H7" s="36"/>
      <c r="I7" s="36"/>
      <c r="J7" s="36"/>
    </row>
    <row r="8" spans="1:10" x14ac:dyDescent="0.25">
      <c r="A8" s="36"/>
      <c r="B8" s="36"/>
      <c r="C8" s="36"/>
      <c r="D8" s="1"/>
      <c r="E8" s="51"/>
      <c r="F8" s="1"/>
      <c r="G8" s="36"/>
      <c r="H8" s="36"/>
      <c r="I8" s="36"/>
      <c r="J8" s="36"/>
    </row>
    <row r="9" spans="1:10" x14ac:dyDescent="0.25">
      <c r="A9" s="36"/>
      <c r="B9" s="36"/>
      <c r="C9" s="36"/>
      <c r="D9" s="1"/>
      <c r="E9" s="51"/>
      <c r="F9" s="1"/>
      <c r="G9" s="36"/>
      <c r="H9" s="36"/>
      <c r="I9" s="36"/>
      <c r="J9" s="36"/>
    </row>
    <row r="10" spans="1:10" x14ac:dyDescent="0.25">
      <c r="A10" s="36"/>
      <c r="B10" s="36"/>
      <c r="C10" s="36"/>
      <c r="D10" s="1"/>
      <c r="E10" s="51"/>
      <c r="F10" s="1"/>
      <c r="G10" s="36"/>
      <c r="H10" s="36"/>
      <c r="I10" s="36"/>
      <c r="J10" s="36"/>
    </row>
    <row r="11" spans="1:10" x14ac:dyDescent="0.25">
      <c r="A11" s="36"/>
      <c r="B11" s="36"/>
      <c r="C11" s="36"/>
      <c r="D11" s="5"/>
      <c r="E11" s="5"/>
      <c r="F11" s="5"/>
      <c r="G11" s="36"/>
      <c r="H11" s="36"/>
      <c r="I11" s="36"/>
      <c r="J11" s="36"/>
    </row>
    <row r="12" spans="1:10" x14ac:dyDescent="0.25">
      <c r="A12" s="36"/>
      <c r="B12" s="36"/>
      <c r="C12" s="36"/>
      <c r="D12" s="5"/>
      <c r="E12" s="5"/>
      <c r="F12" s="5"/>
      <c r="G12" s="36"/>
      <c r="H12" s="36"/>
      <c r="I12" s="36"/>
      <c r="J12" s="36"/>
    </row>
    <row r="13" spans="1:10" x14ac:dyDescent="0.25">
      <c r="A13" s="36"/>
      <c r="B13" s="36"/>
      <c r="C13" s="36"/>
      <c r="D13" s="36"/>
      <c r="E13" s="36"/>
      <c r="F13" s="36"/>
      <c r="G13" s="36"/>
      <c r="H13" s="36"/>
      <c r="I13" s="36"/>
      <c r="J13" s="36"/>
    </row>
    <row r="14" spans="1:10" x14ac:dyDescent="0.25">
      <c r="A14" s="36"/>
      <c r="B14" s="36"/>
      <c r="C14" s="36"/>
      <c r="D14" s="36"/>
      <c r="E14" s="36"/>
      <c r="F14" s="36"/>
      <c r="G14" s="36"/>
      <c r="H14" s="36"/>
      <c r="I14" s="36"/>
      <c r="J14" s="36"/>
    </row>
    <row r="15" spans="1:10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</row>
    <row r="16" spans="1:10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36"/>
    </row>
    <row r="17" spans="1:10" x14ac:dyDescent="0.25">
      <c r="A17" s="36"/>
      <c r="B17" s="36"/>
      <c r="C17" s="36"/>
      <c r="D17" s="36"/>
      <c r="E17" s="36"/>
      <c r="F17" s="36"/>
      <c r="G17" s="36"/>
      <c r="H17" s="36"/>
      <c r="I17" s="36"/>
      <c r="J17" s="36"/>
    </row>
    <row r="18" spans="1:10" x14ac:dyDescent="0.25">
      <c r="A18" s="36"/>
      <c r="B18" s="36"/>
      <c r="C18" s="36"/>
      <c r="D18" s="36"/>
      <c r="E18" s="36"/>
      <c r="F18" s="36"/>
      <c r="G18" s="36"/>
      <c r="H18" s="36"/>
      <c r="I18" s="36"/>
      <c r="J18" s="36"/>
    </row>
    <row r="19" spans="1:10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</row>
    <row r="20" spans="1:10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</row>
    <row r="21" spans="1:10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</row>
    <row r="22" spans="1:10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</row>
    <row r="23" spans="1:10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</row>
    <row r="24" spans="1:10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</row>
    <row r="25" spans="1:10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</row>
    <row r="26" spans="1:10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</row>
    <row r="27" spans="1:10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</row>
    <row r="28" spans="1:10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</row>
    <row r="29" spans="1:10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</row>
    <row r="30" spans="1:10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</row>
    <row r="31" spans="1:10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</row>
    <row r="32" spans="1:10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</row>
    <row r="33" spans="1:10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</row>
    <row r="34" spans="1:10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</row>
    <row r="35" spans="1:10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</row>
    <row r="36" spans="1:10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</row>
    <row r="37" spans="1:10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</row>
    <row r="38" spans="1:10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</row>
    <row r="39" spans="1:10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</row>
    <row r="40" spans="1:10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</row>
    <row r="41" spans="1:10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</row>
    <row r="42" spans="1:10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</row>
    <row r="43" spans="1:10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</row>
    <row r="44" spans="1:10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</row>
    <row r="45" spans="1:10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</row>
    <row r="54" spans="1:10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</row>
    <row r="56" spans="1:10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</row>
    <row r="57" spans="1:10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</row>
    <row r="58" spans="1:10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</row>
    <row r="59" spans="1:10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</row>
    <row r="60" spans="1:10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</row>
    <row r="61" spans="1:10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</row>
    <row r="62" spans="1:10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</row>
    <row r="63" spans="1:10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</row>
    <row r="64" spans="1:10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</row>
  </sheetData>
  <mergeCells count="1">
    <mergeCell ref="A1:J1"/>
  </mergeCells>
  <hyperlinks>
    <hyperlink ref="E5" r:id="rId1" xr:uid="{00000000-0004-0000-0000-000000000000}"/>
    <hyperlink ref="E6" r:id="rId2" xr:uid="{00000000-0004-0000-0000-000001000000}"/>
    <hyperlink ref="E7" r:id="rId3" xr:uid="{00000000-0004-0000-0000-000002000000}"/>
  </hyperlinks>
  <pageMargins left="0.7" right="0.7" top="0.78740157499999996" bottom="0.78740157499999996" header="0.3" footer="0.3"/>
  <pageSetup paperSize="9" orientation="portrait"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M315"/>
  <sheetViews>
    <sheetView tabSelected="1" topLeftCell="A45" zoomScale="130" zoomScaleNormal="130" workbookViewId="0">
      <selection activeCell="B62" sqref="B62"/>
    </sheetView>
  </sheetViews>
  <sheetFormatPr baseColWidth="10" defaultColWidth="10.875" defaultRowHeight="15" x14ac:dyDescent="0.2"/>
  <cols>
    <col min="1" max="1" width="14.5" style="12" customWidth="1"/>
    <col min="2" max="2" width="31.375" style="12" customWidth="1"/>
    <col min="3" max="3" width="32.625" style="12" bestFit="1" customWidth="1"/>
    <col min="4" max="4" width="51.75" style="55" bestFit="1" customWidth="1"/>
    <col min="5" max="5" width="11.5" style="12" customWidth="1"/>
    <col min="6" max="6" width="10.25" style="12" customWidth="1"/>
    <col min="7" max="7" width="9.625" style="12" bestFit="1" customWidth="1"/>
    <col min="8" max="8" width="13" style="12" bestFit="1" customWidth="1"/>
    <col min="9" max="9" width="3.5" style="4" customWidth="1"/>
    <col min="10" max="99" width="3.5" style="1" customWidth="1"/>
    <col min="100" max="16384" width="10.875" style="1"/>
  </cols>
  <sheetData>
    <row r="1" spans="1:169" x14ac:dyDescent="0.2"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</row>
    <row r="2" spans="1:169" ht="18" x14ac:dyDescent="0.25">
      <c r="B2" s="13" t="str">
        <f>IF(ISBLANK('Basic Data'!$B$4),"Nom de la feuille", 'Basic Data'!$B$4)</f>
        <v>Analyse de données, Reporting et Datavisualisation</v>
      </c>
      <c r="F2" s="4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</row>
    <row r="3" spans="1:169" ht="18" x14ac:dyDescent="0.25">
      <c r="F3" s="40" t="s">
        <v>29</v>
      </c>
      <c r="G3" s="14"/>
      <c r="H3" s="14"/>
      <c r="I3" s="5"/>
      <c r="J3" s="5"/>
      <c r="K3" s="5"/>
      <c r="L3" s="5"/>
      <c r="M3" s="5"/>
      <c r="N3" s="5"/>
      <c r="O3" s="5"/>
      <c r="P3" s="5"/>
      <c r="Q3" s="5"/>
      <c r="R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</row>
    <row r="4" spans="1:169" x14ac:dyDescent="0.2">
      <c r="B4" s="14" t="s">
        <v>25</v>
      </c>
      <c r="C4" s="29" t="s">
        <v>47</v>
      </c>
      <c r="D4" s="56"/>
      <c r="G4" s="1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</row>
    <row r="5" spans="1:169" ht="18" x14ac:dyDescent="0.25">
      <c r="B5" s="14" t="s">
        <v>26</v>
      </c>
      <c r="C5" s="30">
        <v>45632</v>
      </c>
      <c r="D5" s="57"/>
      <c r="E5" s="12" t="s">
        <v>30</v>
      </c>
      <c r="G5" s="41">
        <v>1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</row>
    <row r="6" spans="1:169" x14ac:dyDescent="0.2">
      <c r="B6" s="14" t="s">
        <v>28</v>
      </c>
      <c r="C6" s="31">
        <f ca="1">TODAY()</f>
        <v>45809</v>
      </c>
      <c r="D6" s="58"/>
      <c r="H6" s="16"/>
      <c r="I6" s="70" t="str">
        <f>"Semaine "&amp;(I8-($C$5-WEEKDAY($C$5,1)+2))/7+1</f>
        <v>Semaine 1</v>
      </c>
      <c r="J6" s="70"/>
      <c r="K6" s="70"/>
      <c r="L6" s="70"/>
      <c r="M6" s="70"/>
      <c r="N6" s="70"/>
      <c r="O6" s="70"/>
      <c r="P6" s="69" t="str">
        <f>"Semaine "&amp;(P8-($C$5-WEEKDAY($C$5,1)+2))/7+1</f>
        <v>Semaine 2</v>
      </c>
      <c r="Q6" s="70"/>
      <c r="R6" s="70"/>
      <c r="S6" s="70"/>
      <c r="T6" s="70"/>
      <c r="U6" s="70"/>
      <c r="V6" s="70"/>
      <c r="W6" s="69" t="str">
        <f>"Semaine "&amp;(W8-($C$5-WEEKDAY($C$5,1)+2))/7+1</f>
        <v>Semaine 3</v>
      </c>
      <c r="X6" s="70"/>
      <c r="Y6" s="70"/>
      <c r="Z6" s="70"/>
      <c r="AA6" s="70"/>
      <c r="AB6" s="70"/>
      <c r="AC6" s="70"/>
      <c r="AD6" s="69" t="str">
        <f>"Semaine "&amp;(AD8-($C$5-WEEKDAY($C$5,1)+2))/7+1</f>
        <v>Semaine 4</v>
      </c>
      <c r="AE6" s="70"/>
      <c r="AF6" s="70"/>
      <c r="AG6" s="70"/>
      <c r="AH6" s="70"/>
      <c r="AI6" s="70"/>
      <c r="AJ6" s="70"/>
      <c r="AK6" s="69" t="str">
        <f>"Semaine "&amp;(AK8-($C$5-WEEKDAY($C$5,1)+2))/7+1</f>
        <v>Semaine 5</v>
      </c>
      <c r="AL6" s="70"/>
      <c r="AM6" s="70"/>
      <c r="AN6" s="70"/>
      <c r="AO6" s="70"/>
      <c r="AP6" s="70"/>
      <c r="AQ6" s="70"/>
      <c r="AR6" s="69" t="str">
        <f>"Semaine "&amp;(AR8-($C$5-WEEKDAY($C$5,1)+2))/7+1</f>
        <v>Semaine 6</v>
      </c>
      <c r="AS6" s="70"/>
      <c r="AT6" s="70"/>
      <c r="AU6" s="70"/>
      <c r="AV6" s="70"/>
      <c r="AW6" s="70"/>
      <c r="AX6" s="70"/>
      <c r="AY6" s="69" t="str">
        <f>"Semaine "&amp;(AY8-($C$5-WEEKDAY($C$5,1)+2))/7+1</f>
        <v>Semaine 7</v>
      </c>
      <c r="AZ6" s="70"/>
      <c r="BA6" s="70"/>
      <c r="BB6" s="70"/>
      <c r="BC6" s="70"/>
      <c r="BD6" s="70"/>
      <c r="BE6" s="70"/>
      <c r="BF6" s="69" t="str">
        <f>"Semaine "&amp;(BF8-($C$5-WEEKDAY($C$5,1)+2))/7+1</f>
        <v>Semaine 8</v>
      </c>
      <c r="BG6" s="70"/>
      <c r="BH6" s="70"/>
      <c r="BI6" s="70"/>
      <c r="BJ6" s="70"/>
      <c r="BK6" s="70"/>
      <c r="BL6" s="70"/>
      <c r="BM6" s="69" t="str">
        <f>"Semaine "&amp;(BM8-($C$5-WEEKDAY($C$5,1)+2))/7+1</f>
        <v>Semaine 9</v>
      </c>
      <c r="BN6" s="70"/>
      <c r="BO6" s="70"/>
      <c r="BP6" s="70"/>
      <c r="BQ6" s="70"/>
      <c r="BR6" s="70"/>
      <c r="BS6" s="70"/>
      <c r="BT6" s="69" t="str">
        <f>"Semaine "&amp;(BT8-($C$5-WEEKDAY($C$5,1)+2))/7+1</f>
        <v>Semaine 10</v>
      </c>
      <c r="BU6" s="70"/>
      <c r="BV6" s="70"/>
      <c r="BW6" s="70"/>
      <c r="BX6" s="70"/>
      <c r="BY6" s="70"/>
      <c r="BZ6" s="70"/>
      <c r="CA6" s="69" t="str">
        <f>"Semaine "&amp;(CA8-($C$5-WEEKDAY($C$5,1)+2))/7+1</f>
        <v>Semaine 11</v>
      </c>
      <c r="CB6" s="70"/>
      <c r="CC6" s="70"/>
      <c r="CD6" s="70"/>
      <c r="CE6" s="70"/>
      <c r="CF6" s="70"/>
      <c r="CG6" s="70"/>
      <c r="CH6" s="69" t="str">
        <f>"Semaine "&amp;(CH8-($C$5-WEEKDAY($C$5,1)+2))/7+1</f>
        <v>Semaine 12</v>
      </c>
      <c r="CI6" s="70"/>
      <c r="CJ6" s="70"/>
      <c r="CK6" s="70"/>
      <c r="CL6" s="70"/>
      <c r="CM6" s="70"/>
      <c r="CN6" s="70"/>
      <c r="CO6" s="69" t="str">
        <f>"Semaine "&amp;(CO8-($C$5-WEEKDAY($C$5,1)+2))/7+1</f>
        <v>Semaine 13</v>
      </c>
      <c r="CP6" s="70"/>
      <c r="CQ6" s="70"/>
      <c r="CR6" s="70"/>
      <c r="CS6" s="70"/>
      <c r="CT6" s="70"/>
      <c r="CU6" s="70"/>
      <c r="CV6" s="69" t="str">
        <f>"Semaine "&amp;(CV8-($C$5-WEEKDAY($C$5,1)+2))/7+1</f>
        <v>Semaine 14</v>
      </c>
      <c r="CW6" s="70"/>
      <c r="CX6" s="70"/>
      <c r="CY6" s="70"/>
      <c r="CZ6" s="70"/>
      <c r="DA6" s="70"/>
      <c r="DB6" s="70"/>
      <c r="DC6" s="69" t="str">
        <f>"Semaine "&amp;(DC8-($C$5-WEEKDAY($C$5,1)+2))/7+1</f>
        <v>Semaine 15</v>
      </c>
      <c r="DD6" s="70"/>
      <c r="DE6" s="70"/>
      <c r="DF6" s="70"/>
      <c r="DG6" s="70"/>
      <c r="DH6" s="70"/>
      <c r="DI6" s="70"/>
      <c r="DJ6" s="69" t="str">
        <f>"Semaine "&amp;(DJ8-($C$5-WEEKDAY($C$5,1)+2))/7+1</f>
        <v>Semaine 16</v>
      </c>
      <c r="DK6" s="70"/>
      <c r="DL6" s="70"/>
      <c r="DM6" s="70"/>
      <c r="DN6" s="70"/>
      <c r="DO6" s="70"/>
      <c r="DP6" s="70"/>
      <c r="DQ6" s="69" t="str">
        <f>"Semaine "&amp;(DQ8-($C$5-WEEKDAY($C$5,1)+2))/7+1</f>
        <v>Semaine 17</v>
      </c>
      <c r="DR6" s="70"/>
      <c r="DS6" s="70"/>
      <c r="DT6" s="70"/>
      <c r="DU6" s="70"/>
      <c r="DV6" s="70"/>
      <c r="DW6" s="70"/>
      <c r="DX6" s="69" t="str">
        <f>"Semaine "&amp;(DX8-($C$5-WEEKDAY($C$5,1)+2))/7+1</f>
        <v>Semaine 18</v>
      </c>
      <c r="DY6" s="70"/>
      <c r="DZ6" s="70"/>
      <c r="EA6" s="70"/>
      <c r="EB6" s="70"/>
      <c r="EC6" s="70"/>
      <c r="ED6" s="70"/>
      <c r="EE6" s="69" t="str">
        <f>"Semaine "&amp;(EE8-($C$5-WEEKDAY($C$5,1)+2))/7+1</f>
        <v>Semaine 19</v>
      </c>
      <c r="EF6" s="70"/>
      <c r="EG6" s="70"/>
      <c r="EH6" s="70"/>
      <c r="EI6" s="70"/>
      <c r="EJ6" s="70"/>
      <c r="EK6" s="70"/>
      <c r="EL6" s="69" t="str">
        <f>"Semaine "&amp;(EL8-($C$5-WEEKDAY($C$5,1)+2))/7+1</f>
        <v>Semaine 20</v>
      </c>
      <c r="EM6" s="70"/>
      <c r="EN6" s="70"/>
      <c r="EO6" s="70"/>
      <c r="EP6" s="70"/>
      <c r="EQ6" s="70"/>
      <c r="ER6" s="70"/>
      <c r="ES6" s="69" t="str">
        <f>"Semaine "&amp;(ES8-($C$5-WEEKDAY($C$5,1)+2))/7+1</f>
        <v>Semaine 21</v>
      </c>
      <c r="ET6" s="70"/>
      <c r="EU6" s="70"/>
      <c r="EV6" s="70"/>
      <c r="EW6" s="70"/>
      <c r="EX6" s="70"/>
      <c r="EY6" s="70"/>
      <c r="EZ6" s="69" t="str">
        <f>"Semaine "&amp;(EZ8-($C$5-WEEKDAY($C$5,1)+2))/7+1</f>
        <v>Semaine 22</v>
      </c>
      <c r="FA6" s="70"/>
      <c r="FB6" s="70"/>
      <c r="FC6" s="70"/>
      <c r="FD6" s="70"/>
      <c r="FE6" s="70"/>
      <c r="FF6" s="70"/>
      <c r="FG6" s="69" t="str">
        <f>"Semaine "&amp;(FG8-($C$5-WEEKDAY($C$5,1)+2))/7+1</f>
        <v>Semaine 23</v>
      </c>
      <c r="FH6" s="70"/>
      <c r="FI6" s="70"/>
      <c r="FJ6" s="70"/>
      <c r="FK6" s="70"/>
      <c r="FL6" s="70"/>
      <c r="FM6" s="70"/>
    </row>
    <row r="7" spans="1:169" x14ac:dyDescent="0.2">
      <c r="B7" s="14" t="s">
        <v>27</v>
      </c>
      <c r="C7" s="47" t="s">
        <v>48</v>
      </c>
      <c r="D7" s="59"/>
      <c r="G7" s="5"/>
      <c r="H7" s="16"/>
      <c r="I7" s="67">
        <f>I8</f>
        <v>45628</v>
      </c>
      <c r="J7" s="67"/>
      <c r="K7" s="67"/>
      <c r="L7" s="67"/>
      <c r="M7" s="67"/>
      <c r="N7" s="67"/>
      <c r="O7" s="68"/>
      <c r="P7" s="66">
        <f>P8</f>
        <v>45635</v>
      </c>
      <c r="Q7" s="67"/>
      <c r="R7" s="67"/>
      <c r="S7" s="67"/>
      <c r="T7" s="67"/>
      <c r="U7" s="67"/>
      <c r="V7" s="68"/>
      <c r="W7" s="66">
        <f>W8</f>
        <v>45642</v>
      </c>
      <c r="X7" s="67"/>
      <c r="Y7" s="67"/>
      <c r="Z7" s="67"/>
      <c r="AA7" s="67"/>
      <c r="AB7" s="67"/>
      <c r="AC7" s="68"/>
      <c r="AD7" s="66">
        <f>AD8</f>
        <v>45649</v>
      </c>
      <c r="AE7" s="67"/>
      <c r="AF7" s="67"/>
      <c r="AG7" s="67"/>
      <c r="AH7" s="67"/>
      <c r="AI7" s="67"/>
      <c r="AJ7" s="68"/>
      <c r="AK7" s="66">
        <f t="shared" ref="AK7" si="0">AK8</f>
        <v>45656</v>
      </c>
      <c r="AL7" s="67"/>
      <c r="AM7" s="67"/>
      <c r="AN7" s="67"/>
      <c r="AO7" s="67"/>
      <c r="AP7" s="67"/>
      <c r="AQ7" s="68"/>
      <c r="AR7" s="66">
        <f t="shared" ref="AR7" si="1">AR8</f>
        <v>45663</v>
      </c>
      <c r="AS7" s="67"/>
      <c r="AT7" s="67"/>
      <c r="AU7" s="67"/>
      <c r="AV7" s="67"/>
      <c r="AW7" s="67"/>
      <c r="AX7" s="68"/>
      <c r="AY7" s="66">
        <f t="shared" ref="AY7" si="2">AY8</f>
        <v>45670</v>
      </c>
      <c r="AZ7" s="67"/>
      <c r="BA7" s="67"/>
      <c r="BB7" s="67"/>
      <c r="BC7" s="67"/>
      <c r="BD7" s="67"/>
      <c r="BE7" s="68"/>
      <c r="BF7" s="66">
        <f t="shared" ref="BF7" si="3">BF8</f>
        <v>45677</v>
      </c>
      <c r="BG7" s="67"/>
      <c r="BH7" s="67"/>
      <c r="BI7" s="67"/>
      <c r="BJ7" s="67"/>
      <c r="BK7" s="67"/>
      <c r="BL7" s="68"/>
      <c r="BM7" s="66">
        <f t="shared" ref="BM7" si="4">BM8</f>
        <v>45684</v>
      </c>
      <c r="BN7" s="67"/>
      <c r="BO7" s="67"/>
      <c r="BP7" s="67"/>
      <c r="BQ7" s="67"/>
      <c r="BR7" s="67"/>
      <c r="BS7" s="68"/>
      <c r="BT7" s="66">
        <f t="shared" ref="BT7" si="5">BT8</f>
        <v>45691</v>
      </c>
      <c r="BU7" s="67"/>
      <c r="BV7" s="67"/>
      <c r="BW7" s="67"/>
      <c r="BX7" s="67"/>
      <c r="BY7" s="67"/>
      <c r="BZ7" s="68"/>
      <c r="CA7" s="66">
        <f t="shared" ref="CA7" si="6">CA8</f>
        <v>45698</v>
      </c>
      <c r="CB7" s="67"/>
      <c r="CC7" s="67"/>
      <c r="CD7" s="67"/>
      <c r="CE7" s="67"/>
      <c r="CF7" s="67"/>
      <c r="CG7" s="68"/>
      <c r="CH7" s="66">
        <f t="shared" ref="CH7" si="7">CH8</f>
        <v>45705</v>
      </c>
      <c r="CI7" s="67"/>
      <c r="CJ7" s="67"/>
      <c r="CK7" s="67"/>
      <c r="CL7" s="67"/>
      <c r="CM7" s="67"/>
      <c r="CN7" s="68"/>
      <c r="CO7" s="66">
        <f t="shared" ref="CO7" si="8">CO8</f>
        <v>45712</v>
      </c>
      <c r="CP7" s="67"/>
      <c r="CQ7" s="67"/>
      <c r="CR7" s="67"/>
      <c r="CS7" s="67"/>
      <c r="CT7" s="67"/>
      <c r="CU7" s="68"/>
      <c r="CV7" s="66">
        <f t="shared" ref="CV7" si="9">CV8</f>
        <v>45719</v>
      </c>
      <c r="CW7" s="67"/>
      <c r="CX7" s="67"/>
      <c r="CY7" s="67"/>
      <c r="CZ7" s="67"/>
      <c r="DA7" s="67"/>
      <c r="DB7" s="68"/>
      <c r="DC7" s="66">
        <f t="shared" ref="DC7" si="10">DC8</f>
        <v>45726</v>
      </c>
      <c r="DD7" s="67"/>
      <c r="DE7" s="67"/>
      <c r="DF7" s="67"/>
      <c r="DG7" s="67"/>
      <c r="DH7" s="67"/>
      <c r="DI7" s="68"/>
      <c r="DJ7" s="66">
        <f t="shared" ref="DJ7" si="11">DJ8</f>
        <v>45733</v>
      </c>
      <c r="DK7" s="67"/>
      <c r="DL7" s="67"/>
      <c r="DM7" s="67"/>
      <c r="DN7" s="67"/>
      <c r="DO7" s="67"/>
      <c r="DP7" s="68"/>
      <c r="DQ7" s="66">
        <f t="shared" ref="DQ7" si="12">DQ8</f>
        <v>45740</v>
      </c>
      <c r="DR7" s="67"/>
      <c r="DS7" s="67"/>
      <c r="DT7" s="67"/>
      <c r="DU7" s="67"/>
      <c r="DV7" s="67"/>
      <c r="DW7" s="68"/>
      <c r="DX7" s="66">
        <f t="shared" ref="DX7" si="13">DX8</f>
        <v>45747</v>
      </c>
      <c r="DY7" s="67"/>
      <c r="DZ7" s="67"/>
      <c r="EA7" s="67"/>
      <c r="EB7" s="67"/>
      <c r="EC7" s="67"/>
      <c r="ED7" s="68"/>
      <c r="EE7" s="66">
        <f t="shared" ref="EE7" si="14">EE8</f>
        <v>45754</v>
      </c>
      <c r="EF7" s="67"/>
      <c r="EG7" s="67"/>
      <c r="EH7" s="67"/>
      <c r="EI7" s="67"/>
      <c r="EJ7" s="67"/>
      <c r="EK7" s="68"/>
      <c r="EL7" s="66">
        <f t="shared" ref="EL7" si="15">EL8</f>
        <v>45761</v>
      </c>
      <c r="EM7" s="67"/>
      <c r="EN7" s="67"/>
      <c r="EO7" s="67"/>
      <c r="EP7" s="67"/>
      <c r="EQ7" s="67"/>
      <c r="ER7" s="68"/>
      <c r="ES7" s="66">
        <f t="shared" ref="ES7" si="16">ES8</f>
        <v>45768</v>
      </c>
      <c r="ET7" s="67"/>
      <c r="EU7" s="67"/>
      <c r="EV7" s="67"/>
      <c r="EW7" s="67"/>
      <c r="EX7" s="67"/>
      <c r="EY7" s="68"/>
      <c r="EZ7" s="66">
        <f t="shared" ref="EZ7" si="17">EZ8</f>
        <v>45775</v>
      </c>
      <c r="FA7" s="67"/>
      <c r="FB7" s="67"/>
      <c r="FC7" s="67"/>
      <c r="FD7" s="67"/>
      <c r="FE7" s="67"/>
      <c r="FF7" s="68"/>
      <c r="FG7" s="66">
        <f t="shared" ref="FG7" si="18">FG8</f>
        <v>45782</v>
      </c>
      <c r="FH7" s="67"/>
      <c r="FI7" s="67"/>
      <c r="FJ7" s="67"/>
      <c r="FK7" s="67"/>
      <c r="FL7" s="67"/>
      <c r="FM7" s="68"/>
    </row>
    <row r="8" spans="1:169" x14ac:dyDescent="0.2">
      <c r="G8" s="32"/>
      <c r="H8" s="16"/>
      <c r="I8" s="9">
        <f>C5-WEEKDAY(C5,1)+2+7*(G5-1)</f>
        <v>45628</v>
      </c>
      <c r="J8" s="6">
        <f t="shared" ref="J8:O8" si="19">I8+1</f>
        <v>45629</v>
      </c>
      <c r="K8" s="6">
        <f t="shared" si="19"/>
        <v>45630</v>
      </c>
      <c r="L8" s="6">
        <f t="shared" si="19"/>
        <v>45631</v>
      </c>
      <c r="M8" s="6">
        <f t="shared" si="19"/>
        <v>45632</v>
      </c>
      <c r="N8" s="6">
        <f t="shared" si="19"/>
        <v>45633</v>
      </c>
      <c r="O8" s="6">
        <f t="shared" si="19"/>
        <v>45634</v>
      </c>
      <c r="P8" s="6">
        <f t="shared" ref="P8:CA8" si="20">O8+1</f>
        <v>45635</v>
      </c>
      <c r="Q8" s="6">
        <f t="shared" si="20"/>
        <v>45636</v>
      </c>
      <c r="R8" s="6">
        <f t="shared" si="20"/>
        <v>45637</v>
      </c>
      <c r="S8" s="6">
        <f t="shared" si="20"/>
        <v>45638</v>
      </c>
      <c r="T8" s="6">
        <f t="shared" si="20"/>
        <v>45639</v>
      </c>
      <c r="U8" s="6">
        <f t="shared" si="20"/>
        <v>45640</v>
      </c>
      <c r="V8" s="6">
        <f t="shared" si="20"/>
        <v>45641</v>
      </c>
      <c r="W8" s="6">
        <f t="shared" si="20"/>
        <v>45642</v>
      </c>
      <c r="X8" s="6">
        <f t="shared" si="20"/>
        <v>45643</v>
      </c>
      <c r="Y8" s="6">
        <f t="shared" si="20"/>
        <v>45644</v>
      </c>
      <c r="Z8" s="6">
        <f t="shared" si="20"/>
        <v>45645</v>
      </c>
      <c r="AA8" s="6">
        <f t="shared" si="20"/>
        <v>45646</v>
      </c>
      <c r="AB8" s="6">
        <f t="shared" si="20"/>
        <v>45647</v>
      </c>
      <c r="AC8" s="6">
        <f t="shared" si="20"/>
        <v>45648</v>
      </c>
      <c r="AD8" s="6">
        <f t="shared" si="20"/>
        <v>45649</v>
      </c>
      <c r="AE8" s="6">
        <f t="shared" si="20"/>
        <v>45650</v>
      </c>
      <c r="AF8" s="6">
        <f t="shared" si="20"/>
        <v>45651</v>
      </c>
      <c r="AG8" s="6">
        <f t="shared" si="20"/>
        <v>45652</v>
      </c>
      <c r="AH8" s="6">
        <f t="shared" si="20"/>
        <v>45653</v>
      </c>
      <c r="AI8" s="6">
        <f t="shared" si="20"/>
        <v>45654</v>
      </c>
      <c r="AJ8" s="6">
        <f t="shared" si="20"/>
        <v>45655</v>
      </c>
      <c r="AK8" s="6">
        <f t="shared" si="20"/>
        <v>45656</v>
      </c>
      <c r="AL8" s="6">
        <f t="shared" si="20"/>
        <v>45657</v>
      </c>
      <c r="AM8" s="6">
        <f t="shared" si="20"/>
        <v>45658</v>
      </c>
      <c r="AN8" s="6">
        <f t="shared" si="20"/>
        <v>45659</v>
      </c>
      <c r="AO8" s="6">
        <f t="shared" si="20"/>
        <v>45660</v>
      </c>
      <c r="AP8" s="6">
        <f t="shared" si="20"/>
        <v>45661</v>
      </c>
      <c r="AQ8" s="6">
        <f t="shared" si="20"/>
        <v>45662</v>
      </c>
      <c r="AR8" s="6">
        <f t="shared" si="20"/>
        <v>45663</v>
      </c>
      <c r="AS8" s="6">
        <f t="shared" si="20"/>
        <v>45664</v>
      </c>
      <c r="AT8" s="6">
        <f t="shared" si="20"/>
        <v>45665</v>
      </c>
      <c r="AU8" s="6">
        <f t="shared" si="20"/>
        <v>45666</v>
      </c>
      <c r="AV8" s="6">
        <f t="shared" si="20"/>
        <v>45667</v>
      </c>
      <c r="AW8" s="6">
        <f t="shared" si="20"/>
        <v>45668</v>
      </c>
      <c r="AX8" s="6">
        <f t="shared" si="20"/>
        <v>45669</v>
      </c>
      <c r="AY8" s="6">
        <f t="shared" si="20"/>
        <v>45670</v>
      </c>
      <c r="AZ8" s="6">
        <f t="shared" si="20"/>
        <v>45671</v>
      </c>
      <c r="BA8" s="6">
        <f t="shared" si="20"/>
        <v>45672</v>
      </c>
      <c r="BB8" s="6">
        <f t="shared" si="20"/>
        <v>45673</v>
      </c>
      <c r="BC8" s="6">
        <f t="shared" si="20"/>
        <v>45674</v>
      </c>
      <c r="BD8" s="6">
        <f t="shared" si="20"/>
        <v>45675</v>
      </c>
      <c r="BE8" s="6">
        <f t="shared" si="20"/>
        <v>45676</v>
      </c>
      <c r="BF8" s="6">
        <f t="shared" si="20"/>
        <v>45677</v>
      </c>
      <c r="BG8" s="6">
        <f t="shared" si="20"/>
        <v>45678</v>
      </c>
      <c r="BH8" s="6">
        <f t="shared" si="20"/>
        <v>45679</v>
      </c>
      <c r="BI8" s="6">
        <f t="shared" si="20"/>
        <v>45680</v>
      </c>
      <c r="BJ8" s="6">
        <f t="shared" si="20"/>
        <v>45681</v>
      </c>
      <c r="BK8" s="6">
        <f t="shared" si="20"/>
        <v>45682</v>
      </c>
      <c r="BL8" s="6">
        <f t="shared" si="20"/>
        <v>45683</v>
      </c>
      <c r="BM8" s="6">
        <f t="shared" si="20"/>
        <v>45684</v>
      </c>
      <c r="BN8" s="6">
        <f t="shared" si="20"/>
        <v>45685</v>
      </c>
      <c r="BO8" s="6">
        <f t="shared" si="20"/>
        <v>45686</v>
      </c>
      <c r="BP8" s="6">
        <f t="shared" si="20"/>
        <v>45687</v>
      </c>
      <c r="BQ8" s="6">
        <f t="shared" si="20"/>
        <v>45688</v>
      </c>
      <c r="BR8" s="6">
        <f t="shared" si="20"/>
        <v>45689</v>
      </c>
      <c r="BS8" s="6">
        <f t="shared" si="20"/>
        <v>45690</v>
      </c>
      <c r="BT8" s="6">
        <f t="shared" si="20"/>
        <v>45691</v>
      </c>
      <c r="BU8" s="6">
        <f t="shared" si="20"/>
        <v>45692</v>
      </c>
      <c r="BV8" s="6">
        <f t="shared" si="20"/>
        <v>45693</v>
      </c>
      <c r="BW8" s="6">
        <f t="shared" si="20"/>
        <v>45694</v>
      </c>
      <c r="BX8" s="6">
        <f t="shared" si="20"/>
        <v>45695</v>
      </c>
      <c r="BY8" s="6">
        <f t="shared" si="20"/>
        <v>45696</v>
      </c>
      <c r="BZ8" s="6">
        <f t="shared" si="20"/>
        <v>45697</v>
      </c>
      <c r="CA8" s="6">
        <f t="shared" si="20"/>
        <v>45698</v>
      </c>
      <c r="CB8" s="6">
        <f t="shared" ref="CB8:EM8" si="21">CA8+1</f>
        <v>45699</v>
      </c>
      <c r="CC8" s="6">
        <f t="shared" si="21"/>
        <v>45700</v>
      </c>
      <c r="CD8" s="6">
        <f t="shared" si="21"/>
        <v>45701</v>
      </c>
      <c r="CE8" s="6">
        <f t="shared" si="21"/>
        <v>45702</v>
      </c>
      <c r="CF8" s="6">
        <f t="shared" si="21"/>
        <v>45703</v>
      </c>
      <c r="CG8" s="6">
        <f t="shared" si="21"/>
        <v>45704</v>
      </c>
      <c r="CH8" s="6">
        <f t="shared" si="21"/>
        <v>45705</v>
      </c>
      <c r="CI8" s="6">
        <f t="shared" si="21"/>
        <v>45706</v>
      </c>
      <c r="CJ8" s="6">
        <f t="shared" si="21"/>
        <v>45707</v>
      </c>
      <c r="CK8" s="6">
        <f t="shared" si="21"/>
        <v>45708</v>
      </c>
      <c r="CL8" s="6">
        <f t="shared" si="21"/>
        <v>45709</v>
      </c>
      <c r="CM8" s="6">
        <f t="shared" si="21"/>
        <v>45710</v>
      </c>
      <c r="CN8" s="6">
        <f t="shared" si="21"/>
        <v>45711</v>
      </c>
      <c r="CO8" s="6">
        <f t="shared" si="21"/>
        <v>45712</v>
      </c>
      <c r="CP8" s="6">
        <f t="shared" si="21"/>
        <v>45713</v>
      </c>
      <c r="CQ8" s="6">
        <f t="shared" si="21"/>
        <v>45714</v>
      </c>
      <c r="CR8" s="6">
        <f t="shared" si="21"/>
        <v>45715</v>
      </c>
      <c r="CS8" s="6">
        <f t="shared" si="21"/>
        <v>45716</v>
      </c>
      <c r="CT8" s="6">
        <f t="shared" si="21"/>
        <v>45717</v>
      </c>
      <c r="CU8" s="6">
        <f t="shared" si="21"/>
        <v>45718</v>
      </c>
      <c r="CV8" s="6">
        <f t="shared" si="21"/>
        <v>45719</v>
      </c>
      <c r="CW8" s="6">
        <f t="shared" si="21"/>
        <v>45720</v>
      </c>
      <c r="CX8" s="6">
        <f t="shared" si="21"/>
        <v>45721</v>
      </c>
      <c r="CY8" s="6">
        <f t="shared" si="21"/>
        <v>45722</v>
      </c>
      <c r="CZ8" s="6">
        <f t="shared" si="21"/>
        <v>45723</v>
      </c>
      <c r="DA8" s="6">
        <f t="shared" si="21"/>
        <v>45724</v>
      </c>
      <c r="DB8" s="6">
        <f t="shared" si="21"/>
        <v>45725</v>
      </c>
      <c r="DC8" s="6">
        <f t="shared" si="21"/>
        <v>45726</v>
      </c>
      <c r="DD8" s="6">
        <f t="shared" si="21"/>
        <v>45727</v>
      </c>
      <c r="DE8" s="6">
        <f t="shared" si="21"/>
        <v>45728</v>
      </c>
      <c r="DF8" s="6">
        <f t="shared" si="21"/>
        <v>45729</v>
      </c>
      <c r="DG8" s="6">
        <f t="shared" si="21"/>
        <v>45730</v>
      </c>
      <c r="DH8" s="6">
        <f t="shared" si="21"/>
        <v>45731</v>
      </c>
      <c r="DI8" s="6">
        <f t="shared" si="21"/>
        <v>45732</v>
      </c>
      <c r="DJ8" s="6">
        <f t="shared" si="21"/>
        <v>45733</v>
      </c>
      <c r="DK8" s="6">
        <f t="shared" si="21"/>
        <v>45734</v>
      </c>
      <c r="DL8" s="6">
        <f t="shared" si="21"/>
        <v>45735</v>
      </c>
      <c r="DM8" s="6">
        <f t="shared" si="21"/>
        <v>45736</v>
      </c>
      <c r="DN8" s="6">
        <f t="shared" si="21"/>
        <v>45737</v>
      </c>
      <c r="DO8" s="6">
        <f t="shared" si="21"/>
        <v>45738</v>
      </c>
      <c r="DP8" s="6">
        <f t="shared" si="21"/>
        <v>45739</v>
      </c>
      <c r="DQ8" s="6">
        <f t="shared" si="21"/>
        <v>45740</v>
      </c>
      <c r="DR8" s="6">
        <f t="shared" si="21"/>
        <v>45741</v>
      </c>
      <c r="DS8" s="6">
        <f t="shared" si="21"/>
        <v>45742</v>
      </c>
      <c r="DT8" s="6">
        <f t="shared" si="21"/>
        <v>45743</v>
      </c>
      <c r="DU8" s="6">
        <f t="shared" si="21"/>
        <v>45744</v>
      </c>
      <c r="DV8" s="6">
        <f t="shared" si="21"/>
        <v>45745</v>
      </c>
      <c r="DW8" s="6">
        <f t="shared" si="21"/>
        <v>45746</v>
      </c>
      <c r="DX8" s="6">
        <f t="shared" si="21"/>
        <v>45747</v>
      </c>
      <c r="DY8" s="6">
        <f t="shared" si="21"/>
        <v>45748</v>
      </c>
      <c r="DZ8" s="6">
        <f t="shared" si="21"/>
        <v>45749</v>
      </c>
      <c r="EA8" s="6">
        <f t="shared" si="21"/>
        <v>45750</v>
      </c>
      <c r="EB8" s="6">
        <f t="shared" si="21"/>
        <v>45751</v>
      </c>
      <c r="EC8" s="6">
        <f t="shared" si="21"/>
        <v>45752</v>
      </c>
      <c r="ED8" s="6">
        <f t="shared" si="21"/>
        <v>45753</v>
      </c>
      <c r="EE8" s="6">
        <f t="shared" si="21"/>
        <v>45754</v>
      </c>
      <c r="EF8" s="6">
        <f t="shared" si="21"/>
        <v>45755</v>
      </c>
      <c r="EG8" s="6">
        <f t="shared" si="21"/>
        <v>45756</v>
      </c>
      <c r="EH8" s="6">
        <f t="shared" si="21"/>
        <v>45757</v>
      </c>
      <c r="EI8" s="6">
        <f t="shared" si="21"/>
        <v>45758</v>
      </c>
      <c r="EJ8" s="6">
        <f t="shared" si="21"/>
        <v>45759</v>
      </c>
      <c r="EK8" s="6">
        <f t="shared" si="21"/>
        <v>45760</v>
      </c>
      <c r="EL8" s="6">
        <f t="shared" si="21"/>
        <v>45761</v>
      </c>
      <c r="EM8" s="6">
        <f t="shared" si="21"/>
        <v>45762</v>
      </c>
      <c r="EN8" s="6">
        <f t="shared" ref="EN8:FM8" si="22">EM8+1</f>
        <v>45763</v>
      </c>
      <c r="EO8" s="6">
        <f t="shared" si="22"/>
        <v>45764</v>
      </c>
      <c r="EP8" s="6">
        <f t="shared" si="22"/>
        <v>45765</v>
      </c>
      <c r="EQ8" s="6">
        <f t="shared" si="22"/>
        <v>45766</v>
      </c>
      <c r="ER8" s="6">
        <f t="shared" si="22"/>
        <v>45767</v>
      </c>
      <c r="ES8" s="6">
        <f t="shared" si="22"/>
        <v>45768</v>
      </c>
      <c r="ET8" s="6">
        <f t="shared" si="22"/>
        <v>45769</v>
      </c>
      <c r="EU8" s="6">
        <f t="shared" si="22"/>
        <v>45770</v>
      </c>
      <c r="EV8" s="6">
        <f t="shared" si="22"/>
        <v>45771</v>
      </c>
      <c r="EW8" s="6">
        <f t="shared" si="22"/>
        <v>45772</v>
      </c>
      <c r="EX8" s="6">
        <f t="shared" si="22"/>
        <v>45773</v>
      </c>
      <c r="EY8" s="6">
        <f t="shared" si="22"/>
        <v>45774</v>
      </c>
      <c r="EZ8" s="6">
        <f t="shared" si="22"/>
        <v>45775</v>
      </c>
      <c r="FA8" s="6">
        <f t="shared" si="22"/>
        <v>45776</v>
      </c>
      <c r="FB8" s="6">
        <f t="shared" si="22"/>
        <v>45777</v>
      </c>
      <c r="FC8" s="6">
        <f t="shared" si="22"/>
        <v>45778</v>
      </c>
      <c r="FD8" s="6">
        <f t="shared" si="22"/>
        <v>45779</v>
      </c>
      <c r="FE8" s="6">
        <f t="shared" si="22"/>
        <v>45780</v>
      </c>
      <c r="FF8" s="6">
        <f t="shared" si="22"/>
        <v>45781</v>
      </c>
      <c r="FG8" s="6">
        <f t="shared" si="22"/>
        <v>45782</v>
      </c>
      <c r="FH8" s="6">
        <f t="shared" si="22"/>
        <v>45783</v>
      </c>
      <c r="FI8" s="6">
        <f t="shared" si="22"/>
        <v>45784</v>
      </c>
      <c r="FJ8" s="6">
        <f t="shared" si="22"/>
        <v>45785</v>
      </c>
      <c r="FK8" s="6">
        <f t="shared" si="22"/>
        <v>45786</v>
      </c>
      <c r="FL8" s="6">
        <f t="shared" si="22"/>
        <v>45787</v>
      </c>
      <c r="FM8" s="6">
        <f t="shared" si="22"/>
        <v>45788</v>
      </c>
    </row>
    <row r="9" spans="1:169" ht="15.75" x14ac:dyDescent="0.25">
      <c r="A9" s="17" t="s">
        <v>31</v>
      </c>
      <c r="B9" s="17" t="s">
        <v>32</v>
      </c>
      <c r="C9" s="17" t="s">
        <v>33</v>
      </c>
      <c r="D9" s="60" t="s">
        <v>34</v>
      </c>
      <c r="E9" s="17" t="s">
        <v>35</v>
      </c>
      <c r="F9" s="17" t="s">
        <v>46</v>
      </c>
      <c r="G9" s="33" t="s">
        <v>24</v>
      </c>
      <c r="H9" s="18" t="s">
        <v>36</v>
      </c>
      <c r="I9" s="7" t="str">
        <f>CHOOSE(WEEKDAY(I8,1),"Di","Lu","Ma","Me","Je","Ve","Sa")</f>
        <v>Lu</v>
      </c>
      <c r="J9" s="7" t="str">
        <f t="shared" ref="J9:BU9" si="23">CHOOSE(WEEKDAY(J8,1),"Di","Lu","Ma","Me","Je","Ve","Sa")</f>
        <v>Ma</v>
      </c>
      <c r="K9" s="7" t="str">
        <f t="shared" si="23"/>
        <v>Me</v>
      </c>
      <c r="L9" s="7" t="str">
        <f t="shared" si="23"/>
        <v>Je</v>
      </c>
      <c r="M9" s="7" t="str">
        <f t="shared" si="23"/>
        <v>Ve</v>
      </c>
      <c r="N9" s="7" t="str">
        <f t="shared" si="23"/>
        <v>Sa</v>
      </c>
      <c r="O9" s="7" t="str">
        <f t="shared" si="23"/>
        <v>Di</v>
      </c>
      <c r="P9" s="7" t="str">
        <f t="shared" si="23"/>
        <v>Lu</v>
      </c>
      <c r="Q9" s="7" t="str">
        <f t="shared" si="23"/>
        <v>Ma</v>
      </c>
      <c r="R9" s="7" t="str">
        <f t="shared" si="23"/>
        <v>Me</v>
      </c>
      <c r="S9" s="7" t="str">
        <f t="shared" si="23"/>
        <v>Je</v>
      </c>
      <c r="T9" s="7" t="str">
        <f t="shared" si="23"/>
        <v>Ve</v>
      </c>
      <c r="U9" s="7" t="str">
        <f t="shared" si="23"/>
        <v>Sa</v>
      </c>
      <c r="V9" s="7" t="str">
        <f t="shared" si="23"/>
        <v>Di</v>
      </c>
      <c r="W9" s="7" t="str">
        <f t="shared" si="23"/>
        <v>Lu</v>
      </c>
      <c r="X9" s="7" t="str">
        <f t="shared" si="23"/>
        <v>Ma</v>
      </c>
      <c r="Y9" s="7" t="str">
        <f t="shared" si="23"/>
        <v>Me</v>
      </c>
      <c r="Z9" s="7" t="str">
        <f t="shared" si="23"/>
        <v>Je</v>
      </c>
      <c r="AA9" s="7" t="str">
        <f t="shared" si="23"/>
        <v>Ve</v>
      </c>
      <c r="AB9" s="7" t="str">
        <f t="shared" si="23"/>
        <v>Sa</v>
      </c>
      <c r="AC9" s="7" t="str">
        <f t="shared" si="23"/>
        <v>Di</v>
      </c>
      <c r="AD9" s="7" t="str">
        <f t="shared" si="23"/>
        <v>Lu</v>
      </c>
      <c r="AE9" s="7" t="str">
        <f t="shared" si="23"/>
        <v>Ma</v>
      </c>
      <c r="AF9" s="7" t="str">
        <f t="shared" si="23"/>
        <v>Me</v>
      </c>
      <c r="AG9" s="7" t="str">
        <f t="shared" si="23"/>
        <v>Je</v>
      </c>
      <c r="AH9" s="7" t="str">
        <f t="shared" si="23"/>
        <v>Ve</v>
      </c>
      <c r="AI9" s="7" t="str">
        <f t="shared" si="23"/>
        <v>Sa</v>
      </c>
      <c r="AJ9" s="7" t="str">
        <f t="shared" si="23"/>
        <v>Di</v>
      </c>
      <c r="AK9" s="7" t="str">
        <f t="shared" si="23"/>
        <v>Lu</v>
      </c>
      <c r="AL9" s="7" t="str">
        <f t="shared" si="23"/>
        <v>Ma</v>
      </c>
      <c r="AM9" s="7" t="str">
        <f t="shared" si="23"/>
        <v>Me</v>
      </c>
      <c r="AN9" s="7" t="str">
        <f t="shared" si="23"/>
        <v>Je</v>
      </c>
      <c r="AO9" s="7" t="str">
        <f t="shared" si="23"/>
        <v>Ve</v>
      </c>
      <c r="AP9" s="7" t="str">
        <f t="shared" si="23"/>
        <v>Sa</v>
      </c>
      <c r="AQ9" s="7" t="str">
        <f t="shared" si="23"/>
        <v>Di</v>
      </c>
      <c r="AR9" s="7" t="str">
        <f t="shared" si="23"/>
        <v>Lu</v>
      </c>
      <c r="AS9" s="7" t="str">
        <f t="shared" si="23"/>
        <v>Ma</v>
      </c>
      <c r="AT9" s="7" t="str">
        <f t="shared" si="23"/>
        <v>Me</v>
      </c>
      <c r="AU9" s="7" t="str">
        <f t="shared" si="23"/>
        <v>Je</v>
      </c>
      <c r="AV9" s="7" t="str">
        <f t="shared" si="23"/>
        <v>Ve</v>
      </c>
      <c r="AW9" s="7" t="str">
        <f t="shared" si="23"/>
        <v>Sa</v>
      </c>
      <c r="AX9" s="7" t="str">
        <f t="shared" si="23"/>
        <v>Di</v>
      </c>
      <c r="AY9" s="7" t="str">
        <f t="shared" si="23"/>
        <v>Lu</v>
      </c>
      <c r="AZ9" s="7" t="str">
        <f t="shared" si="23"/>
        <v>Ma</v>
      </c>
      <c r="BA9" s="7" t="str">
        <f t="shared" si="23"/>
        <v>Me</v>
      </c>
      <c r="BB9" s="7" t="str">
        <f t="shared" si="23"/>
        <v>Je</v>
      </c>
      <c r="BC9" s="7" t="str">
        <f t="shared" si="23"/>
        <v>Ve</v>
      </c>
      <c r="BD9" s="7" t="str">
        <f t="shared" si="23"/>
        <v>Sa</v>
      </c>
      <c r="BE9" s="7" t="str">
        <f t="shared" si="23"/>
        <v>Di</v>
      </c>
      <c r="BF9" s="7" t="str">
        <f t="shared" si="23"/>
        <v>Lu</v>
      </c>
      <c r="BG9" s="7" t="str">
        <f t="shared" si="23"/>
        <v>Ma</v>
      </c>
      <c r="BH9" s="7" t="str">
        <f t="shared" si="23"/>
        <v>Me</v>
      </c>
      <c r="BI9" s="7" t="str">
        <f t="shared" si="23"/>
        <v>Je</v>
      </c>
      <c r="BJ9" s="7" t="str">
        <f t="shared" si="23"/>
        <v>Ve</v>
      </c>
      <c r="BK9" s="7" t="str">
        <f t="shared" si="23"/>
        <v>Sa</v>
      </c>
      <c r="BL9" s="7" t="str">
        <f t="shared" si="23"/>
        <v>Di</v>
      </c>
      <c r="BM9" s="7" t="str">
        <f t="shared" si="23"/>
        <v>Lu</v>
      </c>
      <c r="BN9" s="7" t="str">
        <f t="shared" si="23"/>
        <v>Ma</v>
      </c>
      <c r="BO9" s="7" t="str">
        <f t="shared" si="23"/>
        <v>Me</v>
      </c>
      <c r="BP9" s="7" t="str">
        <f t="shared" si="23"/>
        <v>Je</v>
      </c>
      <c r="BQ9" s="7" t="str">
        <f t="shared" si="23"/>
        <v>Ve</v>
      </c>
      <c r="BR9" s="7" t="str">
        <f t="shared" si="23"/>
        <v>Sa</v>
      </c>
      <c r="BS9" s="7" t="str">
        <f t="shared" si="23"/>
        <v>Di</v>
      </c>
      <c r="BT9" s="7" t="str">
        <f t="shared" si="23"/>
        <v>Lu</v>
      </c>
      <c r="BU9" s="7" t="str">
        <f t="shared" si="23"/>
        <v>Ma</v>
      </c>
      <c r="BV9" s="7" t="str">
        <f t="shared" ref="BV9:EG9" si="24">CHOOSE(WEEKDAY(BV8,1),"Di","Lu","Ma","Me","Je","Ve","Sa")</f>
        <v>Me</v>
      </c>
      <c r="BW9" s="7" t="str">
        <f t="shared" si="24"/>
        <v>Je</v>
      </c>
      <c r="BX9" s="7" t="str">
        <f t="shared" si="24"/>
        <v>Ve</v>
      </c>
      <c r="BY9" s="7" t="str">
        <f t="shared" si="24"/>
        <v>Sa</v>
      </c>
      <c r="BZ9" s="7" t="str">
        <f t="shared" si="24"/>
        <v>Di</v>
      </c>
      <c r="CA9" s="7" t="str">
        <f t="shared" si="24"/>
        <v>Lu</v>
      </c>
      <c r="CB9" s="7" t="str">
        <f t="shared" si="24"/>
        <v>Ma</v>
      </c>
      <c r="CC9" s="7" t="str">
        <f t="shared" si="24"/>
        <v>Me</v>
      </c>
      <c r="CD9" s="7" t="str">
        <f t="shared" si="24"/>
        <v>Je</v>
      </c>
      <c r="CE9" s="7" t="str">
        <f t="shared" si="24"/>
        <v>Ve</v>
      </c>
      <c r="CF9" s="7" t="str">
        <f t="shared" si="24"/>
        <v>Sa</v>
      </c>
      <c r="CG9" s="7" t="str">
        <f t="shared" si="24"/>
        <v>Di</v>
      </c>
      <c r="CH9" s="7" t="str">
        <f t="shared" si="24"/>
        <v>Lu</v>
      </c>
      <c r="CI9" s="7" t="str">
        <f t="shared" si="24"/>
        <v>Ma</v>
      </c>
      <c r="CJ9" s="7" t="str">
        <f t="shared" si="24"/>
        <v>Me</v>
      </c>
      <c r="CK9" s="7" t="str">
        <f t="shared" si="24"/>
        <v>Je</v>
      </c>
      <c r="CL9" s="7" t="str">
        <f t="shared" si="24"/>
        <v>Ve</v>
      </c>
      <c r="CM9" s="7" t="str">
        <f t="shared" si="24"/>
        <v>Sa</v>
      </c>
      <c r="CN9" s="7" t="str">
        <f t="shared" si="24"/>
        <v>Di</v>
      </c>
      <c r="CO9" s="7" t="str">
        <f t="shared" si="24"/>
        <v>Lu</v>
      </c>
      <c r="CP9" s="7" t="str">
        <f t="shared" si="24"/>
        <v>Ma</v>
      </c>
      <c r="CQ9" s="7" t="str">
        <f t="shared" si="24"/>
        <v>Me</v>
      </c>
      <c r="CR9" s="7" t="str">
        <f t="shared" si="24"/>
        <v>Je</v>
      </c>
      <c r="CS9" s="7" t="str">
        <f t="shared" si="24"/>
        <v>Ve</v>
      </c>
      <c r="CT9" s="7" t="str">
        <f t="shared" si="24"/>
        <v>Sa</v>
      </c>
      <c r="CU9" s="7" t="str">
        <f t="shared" si="24"/>
        <v>Di</v>
      </c>
      <c r="CV9" s="7" t="str">
        <f t="shared" si="24"/>
        <v>Lu</v>
      </c>
      <c r="CW9" s="7" t="str">
        <f t="shared" si="24"/>
        <v>Ma</v>
      </c>
      <c r="CX9" s="7" t="str">
        <f t="shared" si="24"/>
        <v>Me</v>
      </c>
      <c r="CY9" s="7" t="str">
        <f t="shared" si="24"/>
        <v>Je</v>
      </c>
      <c r="CZ9" s="7" t="str">
        <f t="shared" si="24"/>
        <v>Ve</v>
      </c>
      <c r="DA9" s="7" t="str">
        <f t="shared" si="24"/>
        <v>Sa</v>
      </c>
      <c r="DB9" s="7" t="str">
        <f t="shared" si="24"/>
        <v>Di</v>
      </c>
      <c r="DC9" s="7" t="str">
        <f t="shared" si="24"/>
        <v>Lu</v>
      </c>
      <c r="DD9" s="7" t="str">
        <f t="shared" si="24"/>
        <v>Ma</v>
      </c>
      <c r="DE9" s="7" t="str">
        <f t="shared" si="24"/>
        <v>Me</v>
      </c>
      <c r="DF9" s="7" t="str">
        <f t="shared" si="24"/>
        <v>Je</v>
      </c>
      <c r="DG9" s="7" t="str">
        <f t="shared" si="24"/>
        <v>Ve</v>
      </c>
      <c r="DH9" s="7" t="str">
        <f t="shared" si="24"/>
        <v>Sa</v>
      </c>
      <c r="DI9" s="7" t="str">
        <f t="shared" si="24"/>
        <v>Di</v>
      </c>
      <c r="DJ9" s="7" t="str">
        <f t="shared" si="24"/>
        <v>Lu</v>
      </c>
      <c r="DK9" s="7" t="str">
        <f t="shared" si="24"/>
        <v>Ma</v>
      </c>
      <c r="DL9" s="7" t="str">
        <f t="shared" si="24"/>
        <v>Me</v>
      </c>
      <c r="DM9" s="7" t="str">
        <f t="shared" si="24"/>
        <v>Je</v>
      </c>
      <c r="DN9" s="7" t="str">
        <f t="shared" si="24"/>
        <v>Ve</v>
      </c>
      <c r="DO9" s="7" t="str">
        <f t="shared" si="24"/>
        <v>Sa</v>
      </c>
      <c r="DP9" s="7" t="str">
        <f t="shared" si="24"/>
        <v>Di</v>
      </c>
      <c r="DQ9" s="7" t="str">
        <f t="shared" si="24"/>
        <v>Lu</v>
      </c>
      <c r="DR9" s="7" t="str">
        <f t="shared" si="24"/>
        <v>Ma</v>
      </c>
      <c r="DS9" s="7" t="str">
        <f t="shared" si="24"/>
        <v>Me</v>
      </c>
      <c r="DT9" s="7" t="str">
        <f t="shared" si="24"/>
        <v>Je</v>
      </c>
      <c r="DU9" s="7" t="str">
        <f t="shared" si="24"/>
        <v>Ve</v>
      </c>
      <c r="DV9" s="7" t="str">
        <f t="shared" si="24"/>
        <v>Sa</v>
      </c>
      <c r="DW9" s="7" t="str">
        <f t="shared" si="24"/>
        <v>Di</v>
      </c>
      <c r="DX9" s="7" t="str">
        <f t="shared" si="24"/>
        <v>Lu</v>
      </c>
      <c r="DY9" s="7" t="str">
        <f t="shared" si="24"/>
        <v>Ma</v>
      </c>
      <c r="DZ9" s="7" t="str">
        <f t="shared" si="24"/>
        <v>Me</v>
      </c>
      <c r="EA9" s="7" t="str">
        <f t="shared" si="24"/>
        <v>Je</v>
      </c>
      <c r="EB9" s="7" t="str">
        <f t="shared" si="24"/>
        <v>Ve</v>
      </c>
      <c r="EC9" s="7" t="str">
        <f t="shared" si="24"/>
        <v>Sa</v>
      </c>
      <c r="ED9" s="7" t="str">
        <f t="shared" si="24"/>
        <v>Di</v>
      </c>
      <c r="EE9" s="7" t="str">
        <f t="shared" si="24"/>
        <v>Lu</v>
      </c>
      <c r="EF9" s="7" t="str">
        <f t="shared" si="24"/>
        <v>Ma</v>
      </c>
      <c r="EG9" s="7" t="str">
        <f t="shared" si="24"/>
        <v>Me</v>
      </c>
      <c r="EH9" s="7" t="str">
        <f t="shared" ref="EH9:FM9" si="25">CHOOSE(WEEKDAY(EH8,1),"Di","Lu","Ma","Me","Je","Ve","Sa")</f>
        <v>Je</v>
      </c>
      <c r="EI9" s="7" t="str">
        <f t="shared" si="25"/>
        <v>Ve</v>
      </c>
      <c r="EJ9" s="7" t="str">
        <f t="shared" si="25"/>
        <v>Sa</v>
      </c>
      <c r="EK9" s="7" t="str">
        <f t="shared" si="25"/>
        <v>Di</v>
      </c>
      <c r="EL9" s="7" t="str">
        <f t="shared" si="25"/>
        <v>Lu</v>
      </c>
      <c r="EM9" s="7" t="str">
        <f t="shared" si="25"/>
        <v>Ma</v>
      </c>
      <c r="EN9" s="7" t="str">
        <f t="shared" si="25"/>
        <v>Me</v>
      </c>
      <c r="EO9" s="7" t="str">
        <f t="shared" si="25"/>
        <v>Je</v>
      </c>
      <c r="EP9" s="7" t="str">
        <f t="shared" si="25"/>
        <v>Ve</v>
      </c>
      <c r="EQ9" s="7" t="str">
        <f t="shared" si="25"/>
        <v>Sa</v>
      </c>
      <c r="ER9" s="7" t="str">
        <f t="shared" si="25"/>
        <v>Di</v>
      </c>
      <c r="ES9" s="7" t="str">
        <f t="shared" si="25"/>
        <v>Lu</v>
      </c>
      <c r="ET9" s="7" t="str">
        <f t="shared" si="25"/>
        <v>Ma</v>
      </c>
      <c r="EU9" s="7" t="str">
        <f t="shared" si="25"/>
        <v>Me</v>
      </c>
      <c r="EV9" s="7" t="str">
        <f t="shared" si="25"/>
        <v>Je</v>
      </c>
      <c r="EW9" s="7" t="str">
        <f t="shared" si="25"/>
        <v>Ve</v>
      </c>
      <c r="EX9" s="7" t="str">
        <f t="shared" si="25"/>
        <v>Sa</v>
      </c>
      <c r="EY9" s="7" t="str">
        <f t="shared" si="25"/>
        <v>Di</v>
      </c>
      <c r="EZ9" s="7" t="str">
        <f t="shared" si="25"/>
        <v>Lu</v>
      </c>
      <c r="FA9" s="7" t="str">
        <f t="shared" si="25"/>
        <v>Ma</v>
      </c>
      <c r="FB9" s="7" t="str">
        <f t="shared" si="25"/>
        <v>Me</v>
      </c>
      <c r="FC9" s="7" t="str">
        <f t="shared" si="25"/>
        <v>Je</v>
      </c>
      <c r="FD9" s="7" t="str">
        <f t="shared" si="25"/>
        <v>Ve</v>
      </c>
      <c r="FE9" s="7" t="str">
        <f t="shared" si="25"/>
        <v>Sa</v>
      </c>
      <c r="FF9" s="7" t="str">
        <f t="shared" si="25"/>
        <v>Di</v>
      </c>
      <c r="FG9" s="7" t="str">
        <f t="shared" si="25"/>
        <v>Lu</v>
      </c>
      <c r="FH9" s="7" t="str">
        <f t="shared" si="25"/>
        <v>Ma</v>
      </c>
      <c r="FI9" s="7" t="str">
        <f t="shared" si="25"/>
        <v>Me</v>
      </c>
      <c r="FJ9" s="7" t="str">
        <f t="shared" si="25"/>
        <v>Je</v>
      </c>
      <c r="FK9" s="7" t="str">
        <f t="shared" si="25"/>
        <v>Ve</v>
      </c>
      <c r="FL9" s="7" t="str">
        <f t="shared" si="25"/>
        <v>Sa</v>
      </c>
      <c r="FM9" s="7" t="str">
        <f t="shared" si="25"/>
        <v>Di</v>
      </c>
    </row>
    <row r="10" spans="1:169" s="3" customFormat="1" ht="32.25" thickBot="1" x14ac:dyDescent="0.3">
      <c r="A10" s="19" t="s">
        <v>6</v>
      </c>
      <c r="B10" s="46" t="s">
        <v>51</v>
      </c>
      <c r="C10" s="20"/>
      <c r="D10" s="46"/>
      <c r="E10" s="21"/>
      <c r="F10" s="19"/>
      <c r="G10" s="34"/>
      <c r="H10" s="22">
        <f>SUMIF(A11:A22,A10&amp;"*",H11:H34)/(COUNTIF(A10:A34,A10&amp;".*"))</f>
        <v>0.2</v>
      </c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</row>
    <row r="11" spans="1:169" ht="15.75" thickBot="1" x14ac:dyDescent="0.25">
      <c r="A11" s="23" t="s">
        <v>5</v>
      </c>
      <c r="B11" s="45" t="s">
        <v>44</v>
      </c>
      <c r="C11" s="24"/>
      <c r="D11" s="45" t="s">
        <v>45</v>
      </c>
      <c r="E11" s="25">
        <v>45713</v>
      </c>
      <c r="F11" s="24">
        <v>0.5</v>
      </c>
      <c r="G11" s="35"/>
      <c r="H11" s="26">
        <v>1</v>
      </c>
      <c r="I11" s="1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</row>
    <row r="12" spans="1:169" ht="15.75" thickBot="1" x14ac:dyDescent="0.25">
      <c r="A12" s="23" t="s">
        <v>4</v>
      </c>
      <c r="B12" s="45" t="s">
        <v>56</v>
      </c>
      <c r="C12" s="24"/>
      <c r="D12" s="45"/>
      <c r="E12" s="25">
        <v>45713</v>
      </c>
      <c r="F12" s="24">
        <v>3</v>
      </c>
      <c r="G12" s="35"/>
      <c r="H12" s="26"/>
      <c r="I12" s="10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</row>
    <row r="13" spans="1:169" ht="15.75" thickBot="1" x14ac:dyDescent="0.25">
      <c r="A13" s="23" t="s">
        <v>3</v>
      </c>
      <c r="B13" s="24" t="s">
        <v>57</v>
      </c>
      <c r="C13" s="24" t="s">
        <v>55</v>
      </c>
      <c r="D13" s="45" t="s">
        <v>59</v>
      </c>
      <c r="E13" s="25">
        <v>45719</v>
      </c>
      <c r="F13" s="24">
        <v>1</v>
      </c>
      <c r="G13" s="35"/>
      <c r="H13" s="27"/>
      <c r="I13" s="10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</row>
    <row r="14" spans="1:169" ht="15.75" thickBot="1" x14ac:dyDescent="0.25">
      <c r="A14" s="49" t="s">
        <v>2</v>
      </c>
      <c r="B14" s="24" t="s">
        <v>58</v>
      </c>
      <c r="C14" s="24" t="s">
        <v>55</v>
      </c>
      <c r="D14" s="45" t="s">
        <v>60</v>
      </c>
      <c r="E14" s="25">
        <v>45720</v>
      </c>
      <c r="F14" s="24">
        <v>1.5</v>
      </c>
      <c r="G14" s="50"/>
      <c r="H14" s="27"/>
      <c r="I14" s="10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</row>
    <row r="15" spans="1:169" ht="15.75" thickBot="1" x14ac:dyDescent="0.25">
      <c r="A15" s="49" t="s">
        <v>23</v>
      </c>
      <c r="B15" s="45"/>
      <c r="C15" s="23"/>
      <c r="D15" s="45"/>
      <c r="E15" s="25"/>
      <c r="F15" s="24"/>
      <c r="G15" s="50"/>
      <c r="H15" s="27"/>
      <c r="I15" s="10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</row>
    <row r="16" spans="1:169" s="3" customFormat="1" ht="16.5" thickBot="1" x14ac:dyDescent="0.3">
      <c r="A16" s="28">
        <v>2</v>
      </c>
      <c r="B16" s="46"/>
      <c r="C16" s="20"/>
      <c r="D16" s="46"/>
      <c r="E16" s="21"/>
      <c r="F16" s="19"/>
      <c r="G16" s="34"/>
      <c r="H16" s="22"/>
      <c r="I16" s="10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</row>
    <row r="17" spans="1:169" ht="15.75" thickBot="1" x14ac:dyDescent="0.25">
      <c r="A17" s="43" t="s">
        <v>7</v>
      </c>
      <c r="B17" s="24" t="s">
        <v>62</v>
      </c>
      <c r="C17" s="24" t="s">
        <v>50</v>
      </c>
      <c r="D17" s="45" t="s">
        <v>63</v>
      </c>
      <c r="E17" s="35">
        <v>45740</v>
      </c>
      <c r="F17" s="24">
        <v>1</v>
      </c>
      <c r="G17" s="35"/>
      <c r="H17" s="26"/>
      <c r="I17" s="10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</row>
    <row r="18" spans="1:169" ht="15.75" thickBot="1" x14ac:dyDescent="0.25">
      <c r="A18" s="43" t="s">
        <v>8</v>
      </c>
      <c r="B18" s="24" t="s">
        <v>62</v>
      </c>
      <c r="C18" s="24" t="s">
        <v>49</v>
      </c>
      <c r="D18" s="45" t="s">
        <v>65</v>
      </c>
      <c r="E18" s="35">
        <v>45772</v>
      </c>
      <c r="F18" s="24">
        <v>1</v>
      </c>
      <c r="G18" s="35"/>
      <c r="H18" s="26"/>
      <c r="I18" s="10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</row>
    <row r="19" spans="1:169" ht="15.75" thickBot="1" x14ac:dyDescent="0.25">
      <c r="A19" s="43" t="s">
        <v>9</v>
      </c>
      <c r="B19" s="24" t="s">
        <v>62</v>
      </c>
      <c r="C19" s="24" t="s">
        <v>50</v>
      </c>
      <c r="D19" s="45" t="s">
        <v>64</v>
      </c>
      <c r="E19" s="35">
        <v>45772</v>
      </c>
      <c r="F19" s="24">
        <v>0.1</v>
      </c>
      <c r="G19" s="35"/>
      <c r="H19" s="26"/>
      <c r="I19" s="10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</row>
    <row r="20" spans="1:169" ht="15.75" thickBot="1" x14ac:dyDescent="0.25">
      <c r="A20" s="43" t="s">
        <v>10</v>
      </c>
      <c r="B20" s="24" t="s">
        <v>62</v>
      </c>
      <c r="C20" s="24" t="s">
        <v>55</v>
      </c>
      <c r="D20" s="45" t="s">
        <v>66</v>
      </c>
      <c r="E20" s="35">
        <v>45772</v>
      </c>
      <c r="F20" s="24">
        <v>2</v>
      </c>
      <c r="G20" s="35"/>
      <c r="H20" s="26"/>
      <c r="I20" s="10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</row>
    <row r="21" spans="1:169" ht="15.75" thickBot="1" x14ac:dyDescent="0.25">
      <c r="A21" s="43" t="s">
        <v>11</v>
      </c>
      <c r="B21" s="24"/>
      <c r="C21" s="24"/>
      <c r="D21" s="45"/>
      <c r="E21" s="35"/>
      <c r="F21" s="24"/>
      <c r="G21" s="35"/>
      <c r="H21" s="26"/>
      <c r="I21" s="10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</row>
    <row r="22" spans="1:169" ht="15.75" thickBot="1" x14ac:dyDescent="0.25">
      <c r="A22" s="43" t="s">
        <v>12</v>
      </c>
      <c r="B22" s="24"/>
      <c r="C22" s="24"/>
      <c r="D22" s="45"/>
      <c r="E22" s="35"/>
      <c r="F22" s="24"/>
      <c r="G22" s="35"/>
      <c r="H22" s="26"/>
      <c r="I22" s="10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</row>
    <row r="23" spans="1:169" s="3" customFormat="1" ht="16.5" thickBot="1" x14ac:dyDescent="0.3">
      <c r="A23" s="28">
        <v>3</v>
      </c>
      <c r="B23" s="46"/>
      <c r="C23" s="20"/>
      <c r="D23" s="46"/>
      <c r="E23" s="21"/>
      <c r="F23" s="19"/>
      <c r="G23" s="34"/>
      <c r="H23" s="22"/>
      <c r="I23" s="10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</row>
    <row r="24" spans="1:169" ht="15.75" thickBot="1" x14ac:dyDescent="0.25">
      <c r="A24" s="23" t="s">
        <v>13</v>
      </c>
      <c r="B24" s="24" t="s">
        <v>67</v>
      </c>
      <c r="C24" s="24" t="s">
        <v>49</v>
      </c>
      <c r="D24" s="45" t="s">
        <v>68</v>
      </c>
      <c r="E24" s="35">
        <v>45743</v>
      </c>
      <c r="F24" s="24">
        <v>0.25</v>
      </c>
      <c r="G24" s="35"/>
      <c r="H24" s="26"/>
      <c r="I24" s="10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</row>
    <row r="25" spans="1:169" ht="15.75" thickBot="1" x14ac:dyDescent="0.25">
      <c r="A25" s="23" t="s">
        <v>14</v>
      </c>
      <c r="B25" s="24" t="s">
        <v>67</v>
      </c>
      <c r="C25" s="24" t="s">
        <v>50</v>
      </c>
      <c r="D25" s="45" t="s">
        <v>69</v>
      </c>
      <c r="E25" s="35">
        <v>45743</v>
      </c>
      <c r="F25" s="24">
        <v>0.2</v>
      </c>
      <c r="G25" s="35"/>
      <c r="H25" s="26"/>
      <c r="I25" s="10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</row>
    <row r="26" spans="1:169" ht="15.75" thickBot="1" x14ac:dyDescent="0.25">
      <c r="A26" s="23" t="s">
        <v>15</v>
      </c>
      <c r="B26" s="24" t="s">
        <v>67</v>
      </c>
      <c r="C26" s="24" t="s">
        <v>55</v>
      </c>
      <c r="D26" s="45" t="s">
        <v>70</v>
      </c>
      <c r="E26" s="35">
        <v>45743</v>
      </c>
      <c r="F26" s="24">
        <v>1</v>
      </c>
      <c r="G26" s="35"/>
      <c r="H26" s="26"/>
      <c r="I26" s="10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</row>
    <row r="27" spans="1:169" ht="15.75" thickBot="1" x14ac:dyDescent="0.25">
      <c r="A27" s="23" t="s">
        <v>16</v>
      </c>
      <c r="B27" s="24" t="s">
        <v>72</v>
      </c>
      <c r="C27" s="24" t="s">
        <v>50</v>
      </c>
      <c r="D27" s="45" t="s">
        <v>71</v>
      </c>
      <c r="E27" s="25">
        <v>45749</v>
      </c>
      <c r="F27" s="24">
        <v>0.2</v>
      </c>
      <c r="G27" s="35"/>
      <c r="H27" s="26"/>
      <c r="I27" s="10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</row>
    <row r="28" spans="1:169" ht="30.75" thickBot="1" x14ac:dyDescent="0.25">
      <c r="A28" s="23" t="s">
        <v>17</v>
      </c>
      <c r="B28" s="54" t="s">
        <v>72</v>
      </c>
      <c r="C28" s="54" t="s">
        <v>49</v>
      </c>
      <c r="D28" s="45" t="s">
        <v>73</v>
      </c>
      <c r="E28" s="53">
        <v>45749</v>
      </c>
      <c r="F28" s="52">
        <v>0.5</v>
      </c>
      <c r="G28" s="35"/>
      <c r="H28" s="26"/>
      <c r="I28" s="10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</row>
    <row r="29" spans="1:169" s="3" customFormat="1" ht="16.5" thickBot="1" x14ac:dyDescent="0.3">
      <c r="A29" s="28">
        <v>4</v>
      </c>
      <c r="B29" s="46"/>
      <c r="C29" s="20"/>
      <c r="D29" s="46"/>
      <c r="E29" s="21"/>
      <c r="F29" s="19"/>
      <c r="G29" s="34"/>
      <c r="H29" s="22"/>
      <c r="I29" s="10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</row>
    <row r="30" spans="1:169" ht="30.75" thickBot="1" x14ac:dyDescent="0.25">
      <c r="A30" s="23" t="s">
        <v>18</v>
      </c>
      <c r="B30" s="24" t="s">
        <v>67</v>
      </c>
      <c r="C30" s="24" t="s">
        <v>55</v>
      </c>
      <c r="D30" s="45" t="s">
        <v>74</v>
      </c>
      <c r="E30" s="25">
        <v>45750</v>
      </c>
      <c r="F30" s="24">
        <v>1.5</v>
      </c>
      <c r="G30" s="35"/>
      <c r="H30" s="26"/>
      <c r="I30" s="10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</row>
    <row r="31" spans="1:169" ht="30.75" thickBot="1" x14ac:dyDescent="0.25">
      <c r="A31" s="23" t="s">
        <v>19</v>
      </c>
      <c r="B31" s="24" t="s">
        <v>75</v>
      </c>
      <c r="C31" s="24" t="s">
        <v>55</v>
      </c>
      <c r="D31" s="45" t="s">
        <v>76</v>
      </c>
      <c r="E31" s="25">
        <v>45769</v>
      </c>
      <c r="F31" s="24">
        <v>1.75</v>
      </c>
      <c r="G31" s="35"/>
      <c r="H31" s="26"/>
      <c r="I31" s="10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</row>
    <row r="32" spans="1:169" ht="30.75" thickBot="1" x14ac:dyDescent="0.25">
      <c r="A32" s="23" t="s">
        <v>20</v>
      </c>
      <c r="B32" s="24" t="s">
        <v>67</v>
      </c>
      <c r="C32" s="24" t="s">
        <v>50</v>
      </c>
      <c r="D32" s="45" t="s">
        <v>77</v>
      </c>
      <c r="E32" s="25">
        <v>45771</v>
      </c>
      <c r="F32" s="24">
        <v>0.25</v>
      </c>
      <c r="G32" s="35"/>
      <c r="H32" s="26"/>
      <c r="I32" s="10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</row>
    <row r="33" spans="1:169" ht="30.75" thickBot="1" x14ac:dyDescent="0.25">
      <c r="A33" s="23" t="s">
        <v>21</v>
      </c>
      <c r="B33" s="24" t="s">
        <v>67</v>
      </c>
      <c r="C33" s="24" t="s">
        <v>55</v>
      </c>
      <c r="D33" s="45" t="s">
        <v>78</v>
      </c>
      <c r="E33" s="25">
        <v>45771</v>
      </c>
      <c r="F33" s="24">
        <v>1</v>
      </c>
      <c r="G33" s="35"/>
      <c r="H33" s="26"/>
      <c r="I33" s="10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</row>
    <row r="34" spans="1:169" ht="45.75" thickBot="1" x14ac:dyDescent="0.25">
      <c r="A34" s="23" t="s">
        <v>22</v>
      </c>
      <c r="B34" s="24" t="s">
        <v>67</v>
      </c>
      <c r="C34" s="24" t="s">
        <v>55</v>
      </c>
      <c r="D34" s="45" t="s">
        <v>79</v>
      </c>
      <c r="E34" s="25">
        <v>45771</v>
      </c>
      <c r="F34" s="24">
        <v>0.75</v>
      </c>
      <c r="G34" s="35"/>
      <c r="H34" s="26"/>
      <c r="I34" s="10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</row>
    <row r="35" spans="1:169" ht="16.5" thickBot="1" x14ac:dyDescent="0.3">
      <c r="A35" s="28">
        <v>4</v>
      </c>
      <c r="B35" s="46"/>
      <c r="C35" s="20"/>
      <c r="D35" s="46"/>
      <c r="E35" s="21"/>
      <c r="F35" s="19"/>
      <c r="G35" s="34"/>
      <c r="H35" s="22"/>
    </row>
    <row r="36" spans="1:169" ht="30.75" thickBot="1" x14ac:dyDescent="0.25">
      <c r="A36" s="23" t="s">
        <v>18</v>
      </c>
      <c r="B36" s="24" t="s">
        <v>80</v>
      </c>
      <c r="C36" s="24" t="s">
        <v>55</v>
      </c>
      <c r="D36" s="45" t="s">
        <v>81</v>
      </c>
      <c r="E36" s="25">
        <v>45778</v>
      </c>
      <c r="F36" s="24">
        <v>0.75</v>
      </c>
      <c r="G36" s="35"/>
      <c r="H36" s="26"/>
    </row>
    <row r="37" spans="1:169" ht="21" customHeight="1" thickBot="1" x14ac:dyDescent="0.25">
      <c r="A37" s="23" t="s">
        <v>19</v>
      </c>
      <c r="B37" s="24" t="s">
        <v>80</v>
      </c>
      <c r="C37" s="24" t="s">
        <v>50</v>
      </c>
      <c r="D37" s="45" t="s">
        <v>82</v>
      </c>
      <c r="E37" s="25">
        <v>45778</v>
      </c>
      <c r="F37" s="24">
        <v>0.1</v>
      </c>
      <c r="G37" s="35"/>
      <c r="H37" s="26"/>
    </row>
    <row r="38" spans="1:169" ht="15.75" thickBot="1" x14ac:dyDescent="0.25">
      <c r="A38" s="23" t="s">
        <v>20</v>
      </c>
      <c r="B38" s="24" t="s">
        <v>80</v>
      </c>
      <c r="C38" s="24" t="s">
        <v>49</v>
      </c>
      <c r="D38" s="45" t="s">
        <v>83</v>
      </c>
      <c r="E38" s="25">
        <v>45780</v>
      </c>
      <c r="F38" s="24">
        <v>0.5</v>
      </c>
      <c r="G38" s="35"/>
      <c r="H38" s="26"/>
    </row>
    <row r="39" spans="1:169" ht="15.75" thickBot="1" x14ac:dyDescent="0.25">
      <c r="A39" s="23" t="s">
        <v>21</v>
      </c>
      <c r="B39" s="24" t="s">
        <v>80</v>
      </c>
      <c r="C39" s="24" t="s">
        <v>50</v>
      </c>
      <c r="D39" s="45" t="s">
        <v>84</v>
      </c>
      <c r="E39" s="25">
        <v>45780</v>
      </c>
      <c r="F39" s="24">
        <v>0.5</v>
      </c>
      <c r="G39" s="35"/>
      <c r="H39" s="26"/>
    </row>
    <row r="40" spans="1:169" ht="30.75" thickBot="1" x14ac:dyDescent="0.25">
      <c r="A40" s="23" t="s">
        <v>22</v>
      </c>
      <c r="B40" s="24" t="s">
        <v>80</v>
      </c>
      <c r="C40" s="24" t="s">
        <v>55</v>
      </c>
      <c r="D40" s="45" t="s">
        <v>85</v>
      </c>
      <c r="E40" s="25">
        <v>45781</v>
      </c>
      <c r="F40" s="24">
        <v>2</v>
      </c>
      <c r="G40" s="35"/>
      <c r="H40" s="26"/>
    </row>
    <row r="41" spans="1:169" ht="30.75" thickBot="1" x14ac:dyDescent="0.25">
      <c r="A41" s="23" t="s">
        <v>87</v>
      </c>
      <c r="B41" s="24" t="s">
        <v>80</v>
      </c>
      <c r="C41" s="24" t="s">
        <v>55</v>
      </c>
      <c r="D41" s="45" t="s">
        <v>97</v>
      </c>
      <c r="E41" s="25">
        <v>45784</v>
      </c>
      <c r="F41" s="24">
        <v>1.5</v>
      </c>
      <c r="G41" s="35"/>
      <c r="H41" s="26"/>
    </row>
    <row r="42" spans="1:169" ht="45.75" thickBot="1" x14ac:dyDescent="0.25">
      <c r="A42" s="23" t="s">
        <v>88</v>
      </c>
      <c r="B42" s="24" t="s">
        <v>86</v>
      </c>
      <c r="C42" s="24" t="s">
        <v>50</v>
      </c>
      <c r="D42" s="45" t="s">
        <v>96</v>
      </c>
      <c r="E42" s="25">
        <v>45785</v>
      </c>
      <c r="F42" s="24">
        <v>1.5</v>
      </c>
      <c r="G42" s="35"/>
      <c r="H42" s="26"/>
    </row>
    <row r="43" spans="1:169" ht="45.75" thickBot="1" x14ac:dyDescent="0.25">
      <c r="A43" s="23" t="s">
        <v>89</v>
      </c>
      <c r="B43" s="24" t="s">
        <v>86</v>
      </c>
      <c r="C43" s="24" t="s">
        <v>49</v>
      </c>
      <c r="D43" s="45" t="s">
        <v>98</v>
      </c>
      <c r="E43" s="25">
        <v>45785</v>
      </c>
      <c r="F43" s="24">
        <v>1.5</v>
      </c>
      <c r="G43" s="35"/>
      <c r="H43" s="26"/>
    </row>
    <row r="44" spans="1:169" ht="60.75" thickBot="1" x14ac:dyDescent="0.25">
      <c r="A44" s="23" t="s">
        <v>90</v>
      </c>
      <c r="B44" s="24" t="s">
        <v>67</v>
      </c>
      <c r="C44" s="24" t="s">
        <v>50</v>
      </c>
      <c r="D44" s="45" t="s">
        <v>100</v>
      </c>
      <c r="E44" s="25">
        <v>45786</v>
      </c>
      <c r="F44" s="24">
        <v>0.5</v>
      </c>
      <c r="G44" s="35"/>
      <c r="H44" s="26"/>
    </row>
    <row r="45" spans="1:169" ht="30.75" thickBot="1" x14ac:dyDescent="0.25">
      <c r="A45" s="23" t="s">
        <v>91</v>
      </c>
      <c r="B45" s="24" t="s">
        <v>67</v>
      </c>
      <c r="C45" s="24" t="s">
        <v>49</v>
      </c>
      <c r="D45" s="45" t="s">
        <v>99</v>
      </c>
      <c r="E45" s="25">
        <v>45786</v>
      </c>
      <c r="F45" s="24">
        <v>0.5</v>
      </c>
      <c r="G45" s="35"/>
      <c r="H45" s="26"/>
    </row>
    <row r="46" spans="1:169" ht="15.75" thickBot="1" x14ac:dyDescent="0.25">
      <c r="A46" s="23" t="s">
        <v>92</v>
      </c>
      <c r="B46" s="24" t="s">
        <v>67</v>
      </c>
      <c r="C46" s="24" t="s">
        <v>55</v>
      </c>
      <c r="D46" s="45" t="s">
        <v>101</v>
      </c>
      <c r="E46" s="25">
        <v>45786</v>
      </c>
      <c r="F46" s="24">
        <v>0.5</v>
      </c>
      <c r="G46" s="35"/>
      <c r="H46" s="26"/>
    </row>
    <row r="47" spans="1:169" ht="15.75" thickBot="1" x14ac:dyDescent="0.25">
      <c r="A47" s="23" t="s">
        <v>93</v>
      </c>
      <c r="B47" s="24" t="s">
        <v>102</v>
      </c>
      <c r="C47" s="24" t="s">
        <v>55</v>
      </c>
      <c r="D47" s="45" t="s">
        <v>103</v>
      </c>
      <c r="E47" s="25">
        <v>45788</v>
      </c>
      <c r="F47" s="24">
        <v>1</v>
      </c>
      <c r="G47" s="35"/>
      <c r="H47" s="26"/>
    </row>
    <row r="48" spans="1:169" ht="30.75" thickBot="1" x14ac:dyDescent="0.25">
      <c r="A48" s="23" t="s">
        <v>94</v>
      </c>
      <c r="B48" s="61" t="s">
        <v>102</v>
      </c>
      <c r="C48" s="24" t="s">
        <v>55</v>
      </c>
      <c r="D48" s="63" t="s">
        <v>104</v>
      </c>
      <c r="E48" s="25">
        <v>45788</v>
      </c>
      <c r="F48" s="24">
        <v>1</v>
      </c>
      <c r="G48" s="35"/>
      <c r="H48" s="26"/>
    </row>
    <row r="49" spans="1:8" ht="15.75" thickBot="1" x14ac:dyDescent="0.25">
      <c r="A49" s="23" t="s">
        <v>95</v>
      </c>
      <c r="B49" s="61" t="s">
        <v>67</v>
      </c>
      <c r="C49" s="24" t="s">
        <v>50</v>
      </c>
      <c r="D49" s="62" t="s">
        <v>117</v>
      </c>
      <c r="E49" s="25">
        <v>45789</v>
      </c>
      <c r="F49" s="24">
        <v>0.75</v>
      </c>
      <c r="G49" s="35"/>
      <c r="H49" s="26"/>
    </row>
    <row r="50" spans="1:8" ht="30.75" thickBot="1" x14ac:dyDescent="0.25">
      <c r="A50" s="23" t="s">
        <v>106</v>
      </c>
      <c r="B50" s="61" t="s">
        <v>67</v>
      </c>
      <c r="C50" s="24" t="s">
        <v>49</v>
      </c>
      <c r="D50" s="63" t="s">
        <v>118</v>
      </c>
      <c r="E50" s="25">
        <v>45789</v>
      </c>
      <c r="F50" s="24">
        <v>0.75</v>
      </c>
      <c r="G50" s="35"/>
      <c r="H50" s="26"/>
    </row>
    <row r="51" spans="1:8" ht="15.75" thickBot="1" x14ac:dyDescent="0.25">
      <c r="A51" s="23" t="s">
        <v>107</v>
      </c>
      <c r="B51" s="61" t="s">
        <v>67</v>
      </c>
      <c r="C51" s="24" t="s">
        <v>55</v>
      </c>
      <c r="D51" s="63" t="s">
        <v>105</v>
      </c>
      <c r="E51" s="25">
        <v>45793</v>
      </c>
      <c r="F51" s="24">
        <v>0.75</v>
      </c>
      <c r="G51" s="35"/>
      <c r="H51" s="26"/>
    </row>
    <row r="52" spans="1:8" ht="30.75" thickBot="1" x14ac:dyDescent="0.25">
      <c r="A52" s="23" t="s">
        <v>108</v>
      </c>
      <c r="B52" s="61" t="s">
        <v>67</v>
      </c>
      <c r="C52" s="24" t="s">
        <v>55</v>
      </c>
      <c r="D52" s="63" t="s">
        <v>122</v>
      </c>
      <c r="E52" s="25">
        <v>45793</v>
      </c>
      <c r="F52" s="24">
        <v>0.75</v>
      </c>
      <c r="G52" s="35"/>
      <c r="H52" s="26"/>
    </row>
    <row r="53" spans="1:8" ht="30.75" thickBot="1" x14ac:dyDescent="0.25">
      <c r="A53" s="23" t="s">
        <v>109</v>
      </c>
      <c r="B53" s="24" t="s">
        <v>121</v>
      </c>
      <c r="C53" s="64" t="s">
        <v>49</v>
      </c>
      <c r="D53" s="45" t="s">
        <v>119</v>
      </c>
      <c r="E53" s="25">
        <v>45801</v>
      </c>
      <c r="F53" s="24">
        <v>0.5</v>
      </c>
      <c r="G53" s="35"/>
      <c r="H53" s="26"/>
    </row>
    <row r="54" spans="1:8" ht="15.75" thickBot="1" x14ac:dyDescent="0.25">
      <c r="A54" s="23" t="s">
        <v>110</v>
      </c>
      <c r="B54" s="24" t="s">
        <v>121</v>
      </c>
      <c r="C54" s="24" t="s">
        <v>50</v>
      </c>
      <c r="D54" s="45" t="s">
        <v>120</v>
      </c>
      <c r="E54" s="25">
        <v>45801</v>
      </c>
      <c r="F54" s="24">
        <v>0.5</v>
      </c>
      <c r="G54" s="35"/>
      <c r="H54" s="26"/>
    </row>
    <row r="55" spans="1:8" ht="45.75" thickBot="1" x14ac:dyDescent="0.25">
      <c r="A55" s="23" t="s">
        <v>111</v>
      </c>
      <c r="B55" s="24" t="s">
        <v>121</v>
      </c>
      <c r="C55" s="24" t="s">
        <v>55</v>
      </c>
      <c r="D55" s="45" t="s">
        <v>123</v>
      </c>
      <c r="E55" s="25">
        <v>45802</v>
      </c>
      <c r="F55" s="24">
        <v>0.75</v>
      </c>
      <c r="G55" s="35"/>
      <c r="H55" s="26"/>
    </row>
    <row r="56" spans="1:8" ht="15.75" thickBot="1" x14ac:dyDescent="0.25">
      <c r="A56" s="23" t="s">
        <v>112</v>
      </c>
      <c r="B56" s="24" t="s">
        <v>121</v>
      </c>
      <c r="C56" s="24" t="s">
        <v>55</v>
      </c>
      <c r="D56" s="45" t="s">
        <v>124</v>
      </c>
      <c r="E56" s="25">
        <v>45802</v>
      </c>
      <c r="F56" s="24">
        <v>1</v>
      </c>
      <c r="G56" s="35"/>
      <c r="H56" s="26"/>
    </row>
    <row r="57" spans="1:8" ht="15.75" thickBot="1" x14ac:dyDescent="0.25">
      <c r="A57" s="23" t="s">
        <v>113</v>
      </c>
      <c r="B57" s="24" t="s">
        <v>125</v>
      </c>
      <c r="C57" s="24" t="s">
        <v>50</v>
      </c>
      <c r="D57" s="45" t="s">
        <v>128</v>
      </c>
      <c r="E57" s="25">
        <v>45807</v>
      </c>
      <c r="F57" s="24">
        <v>0.5</v>
      </c>
      <c r="G57" s="35"/>
      <c r="H57" s="26"/>
    </row>
    <row r="58" spans="1:8" ht="15.75" thickBot="1" x14ac:dyDescent="0.25">
      <c r="A58" s="23" t="s">
        <v>114</v>
      </c>
      <c r="B58" s="24" t="s">
        <v>125</v>
      </c>
      <c r="C58" s="24" t="s">
        <v>55</v>
      </c>
      <c r="D58" s="45" t="s">
        <v>129</v>
      </c>
      <c r="E58" s="25">
        <v>45808</v>
      </c>
      <c r="F58" s="24">
        <v>3</v>
      </c>
      <c r="G58" s="35"/>
      <c r="H58" s="26"/>
    </row>
    <row r="59" spans="1:8" ht="30.75" thickBot="1" x14ac:dyDescent="0.25">
      <c r="A59" s="23" t="s">
        <v>115</v>
      </c>
      <c r="B59" s="24" t="s">
        <v>125</v>
      </c>
      <c r="C59" s="24" t="s">
        <v>55</v>
      </c>
      <c r="D59" s="45" t="s">
        <v>130</v>
      </c>
      <c r="E59" s="25">
        <v>45809</v>
      </c>
      <c r="F59" s="24">
        <v>2</v>
      </c>
      <c r="G59" s="35"/>
      <c r="H59" s="26"/>
    </row>
    <row r="60" spans="1:8" ht="30.75" thickBot="1" x14ac:dyDescent="0.25">
      <c r="A60" s="23" t="s">
        <v>116</v>
      </c>
      <c r="B60" s="24" t="s">
        <v>125</v>
      </c>
      <c r="C60" s="24" t="s">
        <v>49</v>
      </c>
      <c r="D60" s="45" t="s">
        <v>132</v>
      </c>
      <c r="E60" s="25">
        <v>45809</v>
      </c>
      <c r="F60" s="24">
        <v>0.25</v>
      </c>
      <c r="G60" s="35"/>
      <c r="H60" s="26"/>
    </row>
    <row r="61" spans="1:8" ht="15.75" thickBot="1" x14ac:dyDescent="0.25">
      <c r="A61" s="23" t="s">
        <v>126</v>
      </c>
      <c r="B61" s="24"/>
      <c r="D61" s="45"/>
      <c r="E61" s="25"/>
      <c r="F61" s="24"/>
      <c r="G61" s="35"/>
      <c r="H61" s="26"/>
    </row>
    <row r="62" spans="1:8" ht="15.75" thickBot="1" x14ac:dyDescent="0.25">
      <c r="A62" s="23" t="s">
        <v>127</v>
      </c>
      <c r="B62" s="24"/>
      <c r="C62" s="24"/>
      <c r="D62" s="45"/>
      <c r="E62" s="25"/>
      <c r="F62" s="24"/>
      <c r="G62" s="35"/>
      <c r="H62" s="26"/>
    </row>
    <row r="63" spans="1:8" ht="15.75" thickBot="1" x14ac:dyDescent="0.25">
      <c r="A63" s="23"/>
      <c r="B63" s="24"/>
      <c r="C63" s="24"/>
      <c r="D63" s="45"/>
      <c r="E63" s="25"/>
      <c r="F63" s="24"/>
      <c r="G63" s="35"/>
      <c r="H63" s="26"/>
    </row>
    <row r="64" spans="1:8" ht="15.75" thickBot="1" x14ac:dyDescent="0.25">
      <c r="A64" s="23"/>
      <c r="B64" s="24"/>
      <c r="C64" s="24"/>
      <c r="D64" s="45"/>
      <c r="E64" s="25"/>
      <c r="F64" s="24"/>
      <c r="G64" s="35"/>
      <c r="H64" s="26"/>
    </row>
    <row r="65" spans="1:8" ht="15.75" thickBot="1" x14ac:dyDescent="0.25">
      <c r="A65" s="23" t="s">
        <v>131</v>
      </c>
      <c r="B65" s="24"/>
      <c r="C65" s="24"/>
      <c r="D65" s="45"/>
      <c r="E65" s="25"/>
      <c r="F65" s="24">
        <f>SUM(F11:F60)</f>
        <v>40.85</v>
      </c>
      <c r="G65" s="35"/>
      <c r="H65" s="26"/>
    </row>
    <row r="66" spans="1:8" x14ac:dyDescent="0.2">
      <c r="G66" s="5"/>
    </row>
    <row r="67" spans="1:8" x14ac:dyDescent="0.2">
      <c r="G67" s="5"/>
    </row>
    <row r="68" spans="1:8" x14ac:dyDescent="0.2">
      <c r="G68" s="5"/>
    </row>
    <row r="69" spans="1:8" x14ac:dyDescent="0.2">
      <c r="G69" s="5"/>
    </row>
    <row r="70" spans="1:8" x14ac:dyDescent="0.2">
      <c r="G70" s="5"/>
    </row>
    <row r="71" spans="1:8" x14ac:dyDescent="0.2">
      <c r="G71" s="5"/>
    </row>
    <row r="72" spans="1:8" x14ac:dyDescent="0.2">
      <c r="G72" s="5"/>
    </row>
    <row r="73" spans="1:8" x14ac:dyDescent="0.2">
      <c r="G73" s="5"/>
    </row>
    <row r="74" spans="1:8" x14ac:dyDescent="0.2">
      <c r="G74" s="5"/>
    </row>
    <row r="75" spans="1:8" x14ac:dyDescent="0.2">
      <c r="G75" s="5"/>
    </row>
    <row r="76" spans="1:8" x14ac:dyDescent="0.2">
      <c r="G76" s="5"/>
    </row>
    <row r="77" spans="1:8" x14ac:dyDescent="0.2">
      <c r="G77" s="5"/>
    </row>
    <row r="78" spans="1:8" x14ac:dyDescent="0.2">
      <c r="G78" s="5"/>
    </row>
    <row r="79" spans="1:8" x14ac:dyDescent="0.2">
      <c r="G79" s="5"/>
    </row>
    <row r="80" spans="1:8" x14ac:dyDescent="0.2">
      <c r="G80" s="5"/>
    </row>
    <row r="81" spans="7:7" x14ac:dyDescent="0.2">
      <c r="G81" s="5"/>
    </row>
    <row r="82" spans="7:7" x14ac:dyDescent="0.2">
      <c r="G82" s="5"/>
    </row>
    <row r="83" spans="7:7" x14ac:dyDescent="0.2">
      <c r="G83" s="5"/>
    </row>
    <row r="84" spans="7:7" x14ac:dyDescent="0.2">
      <c r="G84" s="5"/>
    </row>
    <row r="85" spans="7:7" x14ac:dyDescent="0.2">
      <c r="G85" s="5"/>
    </row>
    <row r="86" spans="7:7" x14ac:dyDescent="0.2">
      <c r="G86" s="5"/>
    </row>
    <row r="87" spans="7:7" x14ac:dyDescent="0.2">
      <c r="G87" s="5"/>
    </row>
    <row r="88" spans="7:7" x14ac:dyDescent="0.2">
      <c r="G88" s="5"/>
    </row>
    <row r="89" spans="7:7" x14ac:dyDescent="0.2">
      <c r="G89" s="5"/>
    </row>
    <row r="90" spans="7:7" x14ac:dyDescent="0.2">
      <c r="G90" s="5"/>
    </row>
    <row r="91" spans="7:7" x14ac:dyDescent="0.2">
      <c r="G91" s="5"/>
    </row>
    <row r="92" spans="7:7" x14ac:dyDescent="0.2">
      <c r="G92" s="5"/>
    </row>
    <row r="93" spans="7:7" x14ac:dyDescent="0.2">
      <c r="G93" s="5"/>
    </row>
    <row r="94" spans="7:7" x14ac:dyDescent="0.2">
      <c r="G94" s="5"/>
    </row>
    <row r="95" spans="7:7" x14ac:dyDescent="0.2">
      <c r="G95" s="5"/>
    </row>
    <row r="96" spans="7:7" x14ac:dyDescent="0.2">
      <c r="G96" s="5"/>
    </row>
    <row r="97" spans="7:7" x14ac:dyDescent="0.2">
      <c r="G97" s="5"/>
    </row>
    <row r="98" spans="7:7" x14ac:dyDescent="0.2">
      <c r="G98" s="5"/>
    </row>
    <row r="99" spans="7:7" x14ac:dyDescent="0.2">
      <c r="G99" s="5"/>
    </row>
    <row r="100" spans="7:7" x14ac:dyDescent="0.2">
      <c r="G100" s="5"/>
    </row>
    <row r="101" spans="7:7" x14ac:dyDescent="0.2">
      <c r="G101" s="5"/>
    </row>
    <row r="102" spans="7:7" x14ac:dyDescent="0.2">
      <c r="G102" s="5"/>
    </row>
    <row r="103" spans="7:7" x14ac:dyDescent="0.2">
      <c r="G103" s="5"/>
    </row>
    <row r="104" spans="7:7" x14ac:dyDescent="0.2">
      <c r="G104" s="5"/>
    </row>
    <row r="105" spans="7:7" x14ac:dyDescent="0.2">
      <c r="G105" s="5"/>
    </row>
    <row r="106" spans="7:7" x14ac:dyDescent="0.2">
      <c r="G106" s="5"/>
    </row>
    <row r="107" spans="7:7" x14ac:dyDescent="0.2">
      <c r="G107" s="5"/>
    </row>
    <row r="108" spans="7:7" x14ac:dyDescent="0.2">
      <c r="G108" s="5"/>
    </row>
    <row r="109" spans="7:7" x14ac:dyDescent="0.2">
      <c r="G109" s="5"/>
    </row>
    <row r="110" spans="7:7" x14ac:dyDescent="0.2">
      <c r="G110" s="5"/>
    </row>
    <row r="111" spans="7:7" x14ac:dyDescent="0.2">
      <c r="G111" s="5"/>
    </row>
    <row r="112" spans="7:7" x14ac:dyDescent="0.2">
      <c r="G112" s="5"/>
    </row>
    <row r="113" spans="7:7" x14ac:dyDescent="0.2">
      <c r="G113" s="5"/>
    </row>
    <row r="114" spans="7:7" x14ac:dyDescent="0.2">
      <c r="G114" s="5"/>
    </row>
    <row r="115" spans="7:7" x14ac:dyDescent="0.2">
      <c r="G115" s="5"/>
    </row>
    <row r="116" spans="7:7" x14ac:dyDescent="0.2">
      <c r="G116" s="5"/>
    </row>
    <row r="117" spans="7:7" x14ac:dyDescent="0.2">
      <c r="G117" s="5"/>
    </row>
    <row r="118" spans="7:7" x14ac:dyDescent="0.2">
      <c r="G118" s="5"/>
    </row>
    <row r="119" spans="7:7" x14ac:dyDescent="0.2">
      <c r="G119" s="5"/>
    </row>
    <row r="120" spans="7:7" x14ac:dyDescent="0.2">
      <c r="G120" s="5"/>
    </row>
    <row r="121" spans="7:7" x14ac:dyDescent="0.2">
      <c r="G121" s="5"/>
    </row>
    <row r="122" spans="7:7" x14ac:dyDescent="0.2">
      <c r="G122" s="5"/>
    </row>
    <row r="123" spans="7:7" x14ac:dyDescent="0.2">
      <c r="G123" s="5"/>
    </row>
    <row r="124" spans="7:7" x14ac:dyDescent="0.2">
      <c r="G124" s="5"/>
    </row>
    <row r="125" spans="7:7" x14ac:dyDescent="0.2">
      <c r="G125" s="5"/>
    </row>
    <row r="126" spans="7:7" x14ac:dyDescent="0.2">
      <c r="G126" s="5"/>
    </row>
    <row r="127" spans="7:7" x14ac:dyDescent="0.2">
      <c r="G127" s="5"/>
    </row>
    <row r="128" spans="7:7" x14ac:dyDescent="0.2">
      <c r="G128" s="5"/>
    </row>
    <row r="129" spans="7:7" x14ac:dyDescent="0.2">
      <c r="G129" s="5"/>
    </row>
    <row r="130" spans="7:7" x14ac:dyDescent="0.2">
      <c r="G130" s="5"/>
    </row>
    <row r="131" spans="7:7" x14ac:dyDescent="0.2">
      <c r="G131" s="5"/>
    </row>
    <row r="132" spans="7:7" x14ac:dyDescent="0.2">
      <c r="G132" s="5"/>
    </row>
    <row r="133" spans="7:7" x14ac:dyDescent="0.2">
      <c r="G133" s="5"/>
    </row>
    <row r="134" spans="7:7" x14ac:dyDescent="0.2">
      <c r="G134" s="5"/>
    </row>
    <row r="135" spans="7:7" x14ac:dyDescent="0.2">
      <c r="G135" s="5"/>
    </row>
    <row r="136" spans="7:7" x14ac:dyDescent="0.2">
      <c r="G136" s="5"/>
    </row>
    <row r="137" spans="7:7" x14ac:dyDescent="0.2">
      <c r="G137" s="5"/>
    </row>
    <row r="138" spans="7:7" x14ac:dyDescent="0.2">
      <c r="G138" s="5"/>
    </row>
    <row r="139" spans="7:7" x14ac:dyDescent="0.2">
      <c r="G139" s="5"/>
    </row>
    <row r="140" spans="7:7" x14ac:dyDescent="0.2">
      <c r="G140" s="5"/>
    </row>
    <row r="141" spans="7:7" x14ac:dyDescent="0.2">
      <c r="G141" s="5"/>
    </row>
    <row r="142" spans="7:7" x14ac:dyDescent="0.2">
      <c r="G142" s="5"/>
    </row>
    <row r="143" spans="7:7" x14ac:dyDescent="0.2">
      <c r="G143" s="5"/>
    </row>
    <row r="144" spans="7:7" x14ac:dyDescent="0.2">
      <c r="G144" s="5"/>
    </row>
    <row r="145" spans="7:7" x14ac:dyDescent="0.2">
      <c r="G145" s="5"/>
    </row>
    <row r="146" spans="7:7" x14ac:dyDescent="0.2">
      <c r="G146" s="5"/>
    </row>
    <row r="147" spans="7:7" x14ac:dyDescent="0.2">
      <c r="G147" s="5"/>
    </row>
    <row r="148" spans="7:7" x14ac:dyDescent="0.2">
      <c r="G148" s="5"/>
    </row>
    <row r="149" spans="7:7" x14ac:dyDescent="0.2">
      <c r="G149" s="5"/>
    </row>
    <row r="150" spans="7:7" x14ac:dyDescent="0.2">
      <c r="G150" s="5"/>
    </row>
    <row r="151" spans="7:7" x14ac:dyDescent="0.2">
      <c r="G151" s="5"/>
    </row>
    <row r="152" spans="7:7" x14ac:dyDescent="0.2">
      <c r="G152" s="5"/>
    </row>
    <row r="153" spans="7:7" x14ac:dyDescent="0.2">
      <c r="G153" s="5"/>
    </row>
    <row r="154" spans="7:7" x14ac:dyDescent="0.2">
      <c r="G154" s="5"/>
    </row>
    <row r="155" spans="7:7" x14ac:dyDescent="0.2">
      <c r="G155" s="5"/>
    </row>
    <row r="156" spans="7:7" x14ac:dyDescent="0.2">
      <c r="G156" s="5"/>
    </row>
    <row r="157" spans="7:7" x14ac:dyDescent="0.2">
      <c r="G157" s="5"/>
    </row>
    <row r="158" spans="7:7" x14ac:dyDescent="0.2">
      <c r="G158" s="5"/>
    </row>
    <row r="159" spans="7:7" x14ac:dyDescent="0.2">
      <c r="G159" s="5"/>
    </row>
    <row r="160" spans="7:7" x14ac:dyDescent="0.2">
      <c r="G160" s="5"/>
    </row>
    <row r="161" spans="7:7" x14ac:dyDescent="0.2">
      <c r="G161" s="5"/>
    </row>
    <row r="162" spans="7:7" x14ac:dyDescent="0.2">
      <c r="G162" s="5"/>
    </row>
    <row r="163" spans="7:7" x14ac:dyDescent="0.2">
      <c r="G163" s="5"/>
    </row>
    <row r="164" spans="7:7" x14ac:dyDescent="0.2">
      <c r="G164" s="5"/>
    </row>
    <row r="165" spans="7:7" x14ac:dyDescent="0.2">
      <c r="G165" s="5"/>
    </row>
    <row r="166" spans="7:7" x14ac:dyDescent="0.2">
      <c r="G166" s="5"/>
    </row>
    <row r="167" spans="7:7" x14ac:dyDescent="0.2">
      <c r="G167" s="5"/>
    </row>
    <row r="168" spans="7:7" x14ac:dyDescent="0.2">
      <c r="G168" s="5"/>
    </row>
    <row r="169" spans="7:7" x14ac:dyDescent="0.2">
      <c r="G169" s="5"/>
    </row>
    <row r="170" spans="7:7" x14ac:dyDescent="0.2">
      <c r="G170" s="5"/>
    </row>
    <row r="171" spans="7:7" x14ac:dyDescent="0.2">
      <c r="G171" s="5"/>
    </row>
    <row r="172" spans="7:7" x14ac:dyDescent="0.2">
      <c r="G172" s="5"/>
    </row>
    <row r="173" spans="7:7" x14ac:dyDescent="0.2">
      <c r="G173" s="5"/>
    </row>
    <row r="174" spans="7:7" x14ac:dyDescent="0.2">
      <c r="G174" s="5"/>
    </row>
    <row r="175" spans="7:7" x14ac:dyDescent="0.2">
      <c r="G175" s="5"/>
    </row>
    <row r="176" spans="7:7" x14ac:dyDescent="0.2">
      <c r="G176" s="5"/>
    </row>
    <row r="177" spans="7:7" x14ac:dyDescent="0.2">
      <c r="G177" s="5"/>
    </row>
    <row r="178" spans="7:7" x14ac:dyDescent="0.2">
      <c r="G178" s="5"/>
    </row>
    <row r="179" spans="7:7" x14ac:dyDescent="0.2">
      <c r="G179" s="5"/>
    </row>
    <row r="180" spans="7:7" x14ac:dyDescent="0.2">
      <c r="G180" s="5"/>
    </row>
    <row r="181" spans="7:7" x14ac:dyDescent="0.2">
      <c r="G181" s="5"/>
    </row>
    <row r="182" spans="7:7" x14ac:dyDescent="0.2">
      <c r="G182" s="5"/>
    </row>
    <row r="183" spans="7:7" x14ac:dyDescent="0.2">
      <c r="G183" s="5"/>
    </row>
    <row r="184" spans="7:7" x14ac:dyDescent="0.2">
      <c r="G184" s="5"/>
    </row>
    <row r="185" spans="7:7" x14ac:dyDescent="0.2">
      <c r="G185" s="5"/>
    </row>
    <row r="186" spans="7:7" x14ac:dyDescent="0.2">
      <c r="G186" s="5"/>
    </row>
    <row r="187" spans="7:7" x14ac:dyDescent="0.2">
      <c r="G187" s="5"/>
    </row>
    <row r="188" spans="7:7" x14ac:dyDescent="0.2">
      <c r="G188" s="5"/>
    </row>
    <row r="189" spans="7:7" x14ac:dyDescent="0.2">
      <c r="G189" s="5"/>
    </row>
    <row r="190" spans="7:7" x14ac:dyDescent="0.2">
      <c r="G190" s="5"/>
    </row>
    <row r="191" spans="7:7" x14ac:dyDescent="0.2">
      <c r="G191" s="5"/>
    </row>
    <row r="192" spans="7:7" x14ac:dyDescent="0.2">
      <c r="G192" s="5"/>
    </row>
    <row r="193" spans="7:7" x14ac:dyDescent="0.2">
      <c r="G193" s="5"/>
    </row>
    <row r="194" spans="7:7" x14ac:dyDescent="0.2">
      <c r="G194" s="5"/>
    </row>
    <row r="195" spans="7:7" x14ac:dyDescent="0.2">
      <c r="G195" s="5"/>
    </row>
    <row r="196" spans="7:7" x14ac:dyDescent="0.2">
      <c r="G196" s="5"/>
    </row>
    <row r="197" spans="7:7" x14ac:dyDescent="0.2">
      <c r="G197" s="5"/>
    </row>
    <row r="198" spans="7:7" x14ac:dyDescent="0.2">
      <c r="G198" s="5"/>
    </row>
    <row r="199" spans="7:7" x14ac:dyDescent="0.2">
      <c r="G199" s="5"/>
    </row>
    <row r="200" spans="7:7" x14ac:dyDescent="0.2">
      <c r="G200" s="5"/>
    </row>
    <row r="201" spans="7:7" x14ac:dyDescent="0.2">
      <c r="G201" s="5"/>
    </row>
    <row r="202" spans="7:7" x14ac:dyDescent="0.2">
      <c r="G202" s="5"/>
    </row>
    <row r="203" spans="7:7" x14ac:dyDescent="0.2">
      <c r="G203" s="5"/>
    </row>
    <row r="204" spans="7:7" x14ac:dyDescent="0.2">
      <c r="G204" s="5"/>
    </row>
    <row r="205" spans="7:7" x14ac:dyDescent="0.2">
      <c r="G205" s="5"/>
    </row>
    <row r="206" spans="7:7" x14ac:dyDescent="0.2">
      <c r="G206" s="5"/>
    </row>
    <row r="207" spans="7:7" x14ac:dyDescent="0.2">
      <c r="G207" s="5"/>
    </row>
    <row r="208" spans="7:7" x14ac:dyDescent="0.2">
      <c r="G208" s="5"/>
    </row>
    <row r="209" spans="7:7" x14ac:dyDescent="0.2">
      <c r="G209" s="5"/>
    </row>
    <row r="210" spans="7:7" x14ac:dyDescent="0.2">
      <c r="G210" s="5"/>
    </row>
    <row r="211" spans="7:7" x14ac:dyDescent="0.2">
      <c r="G211" s="5"/>
    </row>
    <row r="212" spans="7:7" x14ac:dyDescent="0.2">
      <c r="G212" s="5"/>
    </row>
    <row r="213" spans="7:7" x14ac:dyDescent="0.2">
      <c r="G213" s="5"/>
    </row>
    <row r="214" spans="7:7" x14ac:dyDescent="0.2">
      <c r="G214" s="5"/>
    </row>
    <row r="215" spans="7:7" x14ac:dyDescent="0.2">
      <c r="G215" s="5"/>
    </row>
    <row r="216" spans="7:7" x14ac:dyDescent="0.2">
      <c r="G216" s="5"/>
    </row>
    <row r="217" spans="7:7" x14ac:dyDescent="0.2">
      <c r="G217" s="5"/>
    </row>
    <row r="218" spans="7:7" x14ac:dyDescent="0.2">
      <c r="G218" s="5"/>
    </row>
    <row r="219" spans="7:7" x14ac:dyDescent="0.2">
      <c r="G219" s="5"/>
    </row>
    <row r="220" spans="7:7" x14ac:dyDescent="0.2">
      <c r="G220" s="5"/>
    </row>
    <row r="221" spans="7:7" x14ac:dyDescent="0.2">
      <c r="G221" s="5"/>
    </row>
    <row r="222" spans="7:7" x14ac:dyDescent="0.2">
      <c r="G222" s="5"/>
    </row>
    <row r="223" spans="7:7" x14ac:dyDescent="0.2">
      <c r="G223" s="5"/>
    </row>
    <row r="224" spans="7:7" x14ac:dyDescent="0.2">
      <c r="G224" s="5"/>
    </row>
    <row r="225" spans="7:7" x14ac:dyDescent="0.2">
      <c r="G225" s="5"/>
    </row>
    <row r="226" spans="7:7" x14ac:dyDescent="0.2">
      <c r="G226" s="5"/>
    </row>
    <row r="227" spans="7:7" x14ac:dyDescent="0.2">
      <c r="G227" s="5"/>
    </row>
    <row r="228" spans="7:7" x14ac:dyDescent="0.2">
      <c r="G228" s="5"/>
    </row>
    <row r="229" spans="7:7" x14ac:dyDescent="0.2">
      <c r="G229" s="5"/>
    </row>
    <row r="230" spans="7:7" x14ac:dyDescent="0.2">
      <c r="G230" s="5"/>
    </row>
    <row r="231" spans="7:7" x14ac:dyDescent="0.2">
      <c r="G231" s="5"/>
    </row>
    <row r="232" spans="7:7" x14ac:dyDescent="0.2">
      <c r="G232" s="5"/>
    </row>
    <row r="233" spans="7:7" x14ac:dyDescent="0.2">
      <c r="G233" s="5"/>
    </row>
    <row r="234" spans="7:7" x14ac:dyDescent="0.2">
      <c r="G234" s="5"/>
    </row>
    <row r="235" spans="7:7" x14ac:dyDescent="0.2">
      <c r="G235" s="5"/>
    </row>
    <row r="236" spans="7:7" x14ac:dyDescent="0.2">
      <c r="G236" s="5"/>
    </row>
    <row r="237" spans="7:7" x14ac:dyDescent="0.2">
      <c r="G237" s="5"/>
    </row>
    <row r="238" spans="7:7" x14ac:dyDescent="0.2">
      <c r="G238" s="5"/>
    </row>
    <row r="239" spans="7:7" x14ac:dyDescent="0.2">
      <c r="G239" s="5"/>
    </row>
    <row r="240" spans="7:7" x14ac:dyDescent="0.2">
      <c r="G240" s="5"/>
    </row>
    <row r="241" spans="7:7" x14ac:dyDescent="0.2">
      <c r="G241" s="5"/>
    </row>
    <row r="242" spans="7:7" x14ac:dyDescent="0.2">
      <c r="G242" s="5"/>
    </row>
    <row r="243" spans="7:7" x14ac:dyDescent="0.2">
      <c r="G243" s="5"/>
    </row>
    <row r="244" spans="7:7" x14ac:dyDescent="0.2">
      <c r="G244" s="5"/>
    </row>
    <row r="245" spans="7:7" x14ac:dyDescent="0.2">
      <c r="G245" s="5"/>
    </row>
    <row r="246" spans="7:7" x14ac:dyDescent="0.2">
      <c r="G246" s="5"/>
    </row>
    <row r="247" spans="7:7" x14ac:dyDescent="0.2">
      <c r="G247" s="5"/>
    </row>
    <row r="248" spans="7:7" x14ac:dyDescent="0.2">
      <c r="G248" s="5"/>
    </row>
    <row r="249" spans="7:7" x14ac:dyDescent="0.2">
      <c r="G249" s="5"/>
    </row>
    <row r="250" spans="7:7" x14ac:dyDescent="0.2">
      <c r="G250" s="5"/>
    </row>
    <row r="251" spans="7:7" x14ac:dyDescent="0.2">
      <c r="G251" s="5"/>
    </row>
    <row r="252" spans="7:7" x14ac:dyDescent="0.2">
      <c r="G252" s="5"/>
    </row>
    <row r="253" spans="7:7" x14ac:dyDescent="0.2">
      <c r="G253" s="5"/>
    </row>
    <row r="254" spans="7:7" x14ac:dyDescent="0.2">
      <c r="G254" s="5"/>
    </row>
    <row r="255" spans="7:7" x14ac:dyDescent="0.2">
      <c r="G255" s="5"/>
    </row>
    <row r="256" spans="7:7" x14ac:dyDescent="0.2">
      <c r="G256" s="5"/>
    </row>
    <row r="257" spans="7:7" x14ac:dyDescent="0.2">
      <c r="G257" s="5"/>
    </row>
    <row r="258" spans="7:7" x14ac:dyDescent="0.2">
      <c r="G258" s="5"/>
    </row>
    <row r="259" spans="7:7" x14ac:dyDescent="0.2">
      <c r="G259" s="5"/>
    </row>
    <row r="260" spans="7:7" x14ac:dyDescent="0.2">
      <c r="G260" s="5"/>
    </row>
    <row r="261" spans="7:7" x14ac:dyDescent="0.2">
      <c r="G261" s="5"/>
    </row>
    <row r="262" spans="7:7" x14ac:dyDescent="0.2">
      <c r="G262" s="5"/>
    </row>
    <row r="263" spans="7:7" x14ac:dyDescent="0.2">
      <c r="G263" s="5"/>
    </row>
    <row r="264" spans="7:7" x14ac:dyDescent="0.2">
      <c r="G264" s="5"/>
    </row>
    <row r="265" spans="7:7" x14ac:dyDescent="0.2">
      <c r="G265" s="5"/>
    </row>
    <row r="266" spans="7:7" x14ac:dyDescent="0.2">
      <c r="G266" s="5"/>
    </row>
    <row r="267" spans="7:7" x14ac:dyDescent="0.2">
      <c r="G267" s="5"/>
    </row>
    <row r="268" spans="7:7" x14ac:dyDescent="0.2">
      <c r="G268" s="5"/>
    </row>
    <row r="269" spans="7:7" x14ac:dyDescent="0.2">
      <c r="G269" s="5"/>
    </row>
    <row r="270" spans="7:7" x14ac:dyDescent="0.2">
      <c r="G270" s="5"/>
    </row>
    <row r="271" spans="7:7" x14ac:dyDescent="0.2">
      <c r="G271" s="5"/>
    </row>
    <row r="272" spans="7:7" x14ac:dyDescent="0.2">
      <c r="G272" s="5"/>
    </row>
    <row r="273" spans="7:7" x14ac:dyDescent="0.2">
      <c r="G273" s="5"/>
    </row>
    <row r="274" spans="7:7" x14ac:dyDescent="0.2">
      <c r="G274" s="5"/>
    </row>
    <row r="275" spans="7:7" x14ac:dyDescent="0.2">
      <c r="G275" s="5"/>
    </row>
    <row r="276" spans="7:7" x14ac:dyDescent="0.2">
      <c r="G276" s="5"/>
    </row>
    <row r="277" spans="7:7" x14ac:dyDescent="0.2">
      <c r="G277" s="5"/>
    </row>
    <row r="278" spans="7:7" x14ac:dyDescent="0.2">
      <c r="G278" s="5"/>
    </row>
    <row r="279" spans="7:7" x14ac:dyDescent="0.2">
      <c r="G279" s="5"/>
    </row>
    <row r="280" spans="7:7" x14ac:dyDescent="0.2">
      <c r="G280" s="5"/>
    </row>
    <row r="281" spans="7:7" x14ac:dyDescent="0.2">
      <c r="G281" s="5"/>
    </row>
    <row r="282" spans="7:7" x14ac:dyDescent="0.2">
      <c r="G282" s="5"/>
    </row>
    <row r="283" spans="7:7" x14ac:dyDescent="0.2">
      <c r="G283" s="5"/>
    </row>
    <row r="284" spans="7:7" x14ac:dyDescent="0.2">
      <c r="G284" s="5"/>
    </row>
    <row r="285" spans="7:7" x14ac:dyDescent="0.2">
      <c r="G285" s="5"/>
    </row>
    <row r="286" spans="7:7" x14ac:dyDescent="0.2">
      <c r="G286" s="5"/>
    </row>
    <row r="287" spans="7:7" x14ac:dyDescent="0.2">
      <c r="G287" s="5"/>
    </row>
    <row r="288" spans="7:7" x14ac:dyDescent="0.2">
      <c r="G288" s="5"/>
    </row>
    <row r="289" spans="7:7" x14ac:dyDescent="0.2">
      <c r="G289" s="5"/>
    </row>
    <row r="290" spans="7:7" x14ac:dyDescent="0.2">
      <c r="G290" s="5"/>
    </row>
    <row r="291" spans="7:7" x14ac:dyDescent="0.2">
      <c r="G291" s="5"/>
    </row>
    <row r="292" spans="7:7" x14ac:dyDescent="0.2">
      <c r="G292" s="5"/>
    </row>
    <row r="293" spans="7:7" x14ac:dyDescent="0.2">
      <c r="G293" s="5"/>
    </row>
    <row r="294" spans="7:7" x14ac:dyDescent="0.2">
      <c r="G294" s="5"/>
    </row>
    <row r="295" spans="7:7" x14ac:dyDescent="0.2">
      <c r="G295" s="5"/>
    </row>
    <row r="296" spans="7:7" x14ac:dyDescent="0.2">
      <c r="G296" s="5"/>
    </row>
    <row r="297" spans="7:7" x14ac:dyDescent="0.2">
      <c r="G297" s="5"/>
    </row>
    <row r="298" spans="7:7" x14ac:dyDescent="0.2">
      <c r="G298" s="5"/>
    </row>
    <row r="299" spans="7:7" x14ac:dyDescent="0.2">
      <c r="G299" s="5"/>
    </row>
    <row r="300" spans="7:7" x14ac:dyDescent="0.2">
      <c r="G300" s="5"/>
    </row>
    <row r="301" spans="7:7" x14ac:dyDescent="0.2">
      <c r="G301" s="5"/>
    </row>
    <row r="302" spans="7:7" x14ac:dyDescent="0.2">
      <c r="G302" s="5"/>
    </row>
    <row r="303" spans="7:7" x14ac:dyDescent="0.2">
      <c r="G303" s="5"/>
    </row>
    <row r="304" spans="7:7" x14ac:dyDescent="0.2">
      <c r="G304" s="5"/>
    </row>
    <row r="305" spans="7:7" x14ac:dyDescent="0.2">
      <c r="G305" s="5"/>
    </row>
    <row r="306" spans="7:7" x14ac:dyDescent="0.2">
      <c r="G306" s="5"/>
    </row>
    <row r="307" spans="7:7" x14ac:dyDescent="0.2">
      <c r="G307" s="5"/>
    </row>
    <row r="308" spans="7:7" x14ac:dyDescent="0.2">
      <c r="G308" s="5"/>
    </row>
    <row r="309" spans="7:7" x14ac:dyDescent="0.2">
      <c r="G309" s="5"/>
    </row>
    <row r="310" spans="7:7" x14ac:dyDescent="0.2">
      <c r="G310" s="5"/>
    </row>
    <row r="311" spans="7:7" x14ac:dyDescent="0.2">
      <c r="G311" s="5"/>
    </row>
    <row r="312" spans="7:7" x14ac:dyDescent="0.2">
      <c r="G312" s="5"/>
    </row>
    <row r="313" spans="7:7" x14ac:dyDescent="0.2">
      <c r="G313" s="5"/>
    </row>
    <row r="314" spans="7:7" x14ac:dyDescent="0.2">
      <c r="G314" s="5"/>
    </row>
    <row r="315" spans="7:7" x14ac:dyDescent="0.2">
      <c r="G315" s="5"/>
    </row>
  </sheetData>
  <sheetProtection formatCells="0" insertColumns="0" insertRows="0" insertHyperlinks="0" sort="0" autoFilter="0" pivotTables="0"/>
  <mergeCells count="46">
    <mergeCell ref="AY7:BE7"/>
    <mergeCell ref="I7:O7"/>
    <mergeCell ref="I6:O6"/>
    <mergeCell ref="P6:V6"/>
    <mergeCell ref="P7:V7"/>
    <mergeCell ref="W6:AC6"/>
    <mergeCell ref="AD6:AJ6"/>
    <mergeCell ref="W7:AC7"/>
    <mergeCell ref="AD7:AJ7"/>
    <mergeCell ref="AK7:AQ7"/>
    <mergeCell ref="AR7:AX7"/>
    <mergeCell ref="AK6:AQ6"/>
    <mergeCell ref="AR6:AX6"/>
    <mergeCell ref="AY6:BE6"/>
    <mergeCell ref="BF6:BL6"/>
    <mergeCell ref="BM6:BS6"/>
    <mergeCell ref="CV6:DB6"/>
    <mergeCell ref="BF7:BL7"/>
    <mergeCell ref="BM7:BS7"/>
    <mergeCell ref="BT7:BZ7"/>
    <mergeCell ref="CA7:CG7"/>
    <mergeCell ref="CH7:CN7"/>
    <mergeCell ref="BT6:BZ6"/>
    <mergeCell ref="CA6:CG6"/>
    <mergeCell ref="CH6:CN6"/>
    <mergeCell ref="CO6:CU6"/>
    <mergeCell ref="CO7:CU7"/>
    <mergeCell ref="CV7:DB7"/>
    <mergeCell ref="EE7:EK7"/>
    <mergeCell ref="EL7:ER7"/>
    <mergeCell ref="DC6:DI6"/>
    <mergeCell ref="DJ6:DP6"/>
    <mergeCell ref="DQ6:DW6"/>
    <mergeCell ref="DX6:ED6"/>
    <mergeCell ref="EE6:EK6"/>
    <mergeCell ref="EL6:ER6"/>
    <mergeCell ref="DC7:DI7"/>
    <mergeCell ref="DJ7:DP7"/>
    <mergeCell ref="DQ7:DW7"/>
    <mergeCell ref="DX7:ED7"/>
    <mergeCell ref="ES7:EY7"/>
    <mergeCell ref="EZ7:FF7"/>
    <mergeCell ref="FG7:FM7"/>
    <mergeCell ref="ES6:EY6"/>
    <mergeCell ref="EZ6:FF6"/>
    <mergeCell ref="FG6:FM6"/>
  </mergeCells>
  <phoneticPr fontId="13" type="noConversion"/>
  <conditionalFormatting sqref="H10">
    <cfRule type="dataBar" priority="3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{49518970-A63F-6942-8A0B-BA2DC15915D3}</x14:id>
        </ext>
      </extLst>
    </cfRule>
  </conditionalFormatting>
  <conditionalFormatting sqref="H11:H15">
    <cfRule type="dataBar" priority="31">
      <dataBar>
        <cfvo type="num" val="0"/>
        <cfvo type="num" val="1"/>
        <color rgb="FFEF9C29"/>
      </dataBar>
      <extLst>
        <ext xmlns:x14="http://schemas.microsoft.com/office/spreadsheetml/2009/9/main" uri="{B025F937-C7B1-47D3-B67F-A62EFF666E3E}">
          <x14:id>{DDA58751-1F81-C548-A6F0-1FB2E8136659}</x14:id>
        </ext>
      </extLst>
    </cfRule>
  </conditionalFormatting>
  <conditionalFormatting sqref="H16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{CD852A62-CA7B-2C44-9526-FB027B61FDFA}</x14:id>
        </ext>
      </extLst>
    </cfRule>
  </conditionalFormatting>
  <conditionalFormatting sqref="H17:H22">
    <cfRule type="dataBar" priority="25">
      <dataBar>
        <cfvo type="num" val="0"/>
        <cfvo type="num" val="1"/>
        <color rgb="FFEF9C29"/>
      </dataBar>
      <extLst>
        <ext xmlns:x14="http://schemas.microsoft.com/office/spreadsheetml/2009/9/main" uri="{B025F937-C7B1-47D3-B67F-A62EFF666E3E}">
          <x14:id>{676CC77E-4494-FB46-9159-9C56A28AED70}</x14:id>
        </ext>
      </extLst>
    </cfRule>
  </conditionalFormatting>
  <conditionalFormatting sqref="H23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{D27F143A-D10C-F948-BF52-B9EF29E0358A}</x14:id>
        </ext>
      </extLst>
    </cfRule>
  </conditionalFormatting>
  <conditionalFormatting sqref="H24:H28">
    <cfRule type="dataBar" priority="24">
      <dataBar>
        <cfvo type="num" val="0"/>
        <cfvo type="num" val="1"/>
        <color rgb="FFEF9C29"/>
      </dataBar>
      <extLst>
        <ext xmlns:x14="http://schemas.microsoft.com/office/spreadsheetml/2009/9/main" uri="{B025F937-C7B1-47D3-B67F-A62EFF666E3E}">
          <x14:id>{004905B3-D1AE-2D42-B624-5A2AEB8D48E0}</x14:id>
        </ext>
      </extLst>
    </cfRule>
  </conditionalFormatting>
  <conditionalFormatting sqref="H2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{AA9A1316-B453-3143-B374-D463D22C06C8}</x14:id>
        </ext>
      </extLst>
    </cfRule>
  </conditionalFormatting>
  <conditionalFormatting sqref="H30:H34">
    <cfRule type="dataBar" priority="22">
      <dataBar>
        <cfvo type="num" val="0"/>
        <cfvo type="num" val="1"/>
        <color rgb="FFEF9C29"/>
      </dataBar>
      <extLst>
        <ext xmlns:x14="http://schemas.microsoft.com/office/spreadsheetml/2009/9/main" uri="{B025F937-C7B1-47D3-B67F-A62EFF666E3E}">
          <x14:id>{3CD8A375-EE0C-A946-8B2B-D0087F1C91ED}</x14:id>
        </ext>
      </extLst>
    </cfRule>
  </conditionalFormatting>
  <conditionalFormatting sqref="H35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{EB7AA17A-CE31-4B69-BD8B-3BE96BC3BEE6}</x14:id>
        </ext>
      </extLst>
    </cfRule>
  </conditionalFormatting>
  <conditionalFormatting sqref="H36:H65">
    <cfRule type="dataBar" priority="2">
      <dataBar>
        <cfvo type="num" val="0"/>
        <cfvo type="num" val="1"/>
        <color rgb="FFEF9C29"/>
      </dataBar>
      <extLst>
        <ext xmlns:x14="http://schemas.microsoft.com/office/spreadsheetml/2009/9/main" uri="{B025F937-C7B1-47D3-B67F-A62EFF666E3E}">
          <x14:id>{EE374933-1934-42EE-AF1A-4955F89ACF06}</x14:id>
        </ext>
      </extLst>
    </cfRule>
  </conditionalFormatting>
  <conditionalFormatting sqref="I10:CL10 I59:CL125 I35:CL50 I53:CL55">
    <cfRule type="expression" dxfId="23" priority="21">
      <formula>AND($E10&lt;=I$8,ROUNDDOWN(($G10-$E10+1)*$H10,0)+$E10-1&gt;=I$8)</formula>
    </cfRule>
    <cfRule type="expression" dxfId="22" priority="34">
      <formula>AND(NOT(ISBLANK($E10)),$E10&lt;=I$8,$G10&gt;=I$8)</formula>
    </cfRule>
  </conditionalFormatting>
  <conditionalFormatting sqref="I11:CL13 I16:CL20 I23:CL23 I26:CL34">
    <cfRule type="expression" dxfId="21" priority="12">
      <formula>AND(NOT(ISBLANK($E11)),$E11&lt;=I$8,$G11&gt;=I$8)</formula>
    </cfRule>
  </conditionalFormatting>
  <conditionalFormatting sqref="I14:CL14">
    <cfRule type="expression" dxfId="20" priority="39">
      <formula>AND(NOT(ISBLANK($E15)),$E15&lt;=I$8,$G14&gt;=I$8)</formula>
    </cfRule>
  </conditionalFormatting>
  <conditionalFormatting sqref="I15:CL15">
    <cfRule type="expression" dxfId="19" priority="40">
      <formula>AND(NOT(ISBLANK(#REF!)),#REF!&lt;=I$8,$G15&gt;=I$8)</formula>
    </cfRule>
  </conditionalFormatting>
  <conditionalFormatting sqref="I10:CT10 I8:FM9">
    <cfRule type="expression" dxfId="18" priority="35">
      <formula>I$8=TODAY()</formula>
    </cfRule>
  </conditionalFormatting>
  <conditionalFormatting sqref="I8:FM9">
    <cfRule type="expression" dxfId="17" priority="20">
      <formula>I$8=TODAY()</formula>
    </cfRule>
  </conditionalFormatting>
  <conditionalFormatting sqref="I11:FM13 I16:FM20 I23:FM23 I26:FM34">
    <cfRule type="expression" dxfId="16" priority="11">
      <formula>AND($E11&lt;=I$8,ROUNDDOWN(($G11-$E11+1)*$H11,0)+$E11-1&gt;=I$8)</formula>
    </cfRule>
    <cfRule type="expression" dxfId="15" priority="13">
      <formula>I$8=TODAY()</formula>
    </cfRule>
  </conditionalFormatting>
  <conditionalFormatting sqref="I14:FM14">
    <cfRule type="expression" dxfId="14" priority="43">
      <formula>AND($E15&lt;=I$8,ROUNDDOWN(($G14-$E15+1)*$H14,0)+$E15-1&gt;=I$8)</formula>
    </cfRule>
    <cfRule type="expression" dxfId="13" priority="44">
      <formula>I$8=TODAY()</formula>
    </cfRule>
  </conditionalFormatting>
  <conditionalFormatting sqref="I15:FM15">
    <cfRule type="expression" dxfId="12" priority="45">
      <formula>AND(#REF!&lt;=I$8,ROUNDDOWN(($G15-#REF!+1)*$H15,0)+#REF!-1&gt;=I$8)</formula>
    </cfRule>
    <cfRule type="expression" dxfId="11" priority="46">
      <formula>I$8=TODAY()</formula>
    </cfRule>
  </conditionalFormatting>
  <conditionalFormatting sqref="CU10:FM34">
    <cfRule type="expression" dxfId="10" priority="9">
      <formula>CU$8=TODAY()</formula>
    </cfRule>
  </conditionalFormatting>
  <conditionalFormatting sqref="I21:CL22">
    <cfRule type="expression" dxfId="9" priority="50">
      <formula>AND(NOT(ISBLANK($E24)),$E24&lt;=I$8,$G21&gt;=I$8)</formula>
    </cfRule>
  </conditionalFormatting>
  <conditionalFormatting sqref="I24:CL25">
    <cfRule type="expression" dxfId="8" priority="51">
      <formula>AND(NOT(ISBLANK(#REF!)),#REF!&lt;=I$8,$G24&gt;=I$8)</formula>
    </cfRule>
  </conditionalFormatting>
  <conditionalFormatting sqref="I21:FM22">
    <cfRule type="expression" dxfId="7" priority="54">
      <formula>AND($E24&lt;=I$8,ROUNDDOWN(($G21-$E24+1)*$H21,0)+$E24-1&gt;=I$8)</formula>
    </cfRule>
    <cfRule type="expression" dxfId="6" priority="55">
      <formula>I$8=TODAY()</formula>
    </cfRule>
  </conditionalFormatting>
  <conditionalFormatting sqref="I24:FM25">
    <cfRule type="expression" dxfId="5" priority="56">
      <formula>AND(#REF!&lt;=I$8,ROUNDDOWN(($G24-#REF!+1)*$H24,0)+#REF!-1&gt;=I$8)</formula>
    </cfRule>
    <cfRule type="expression" dxfId="4" priority="57">
      <formula>I$8=TODAY()</formula>
    </cfRule>
  </conditionalFormatting>
  <conditionalFormatting sqref="I56:CL56 I51:CL52">
    <cfRule type="expression" dxfId="3" priority="62">
      <formula>AND(#REF!&lt;=I$8,ROUNDDOWN(($G51-#REF!+1)*$H51,0)+#REF!-1&gt;=I$8)</formula>
    </cfRule>
    <cfRule type="expression" dxfId="2" priority="63">
      <formula>AND(NOT(ISBLANK(#REF!)),#REF!&lt;=I$8,$G51&gt;=I$8)</formula>
    </cfRule>
  </conditionalFormatting>
  <conditionalFormatting sqref="I57:CL58">
    <cfRule type="expression" dxfId="1" priority="70">
      <formula>AND($E51&lt;=I$8,ROUNDDOWN(($G57-$E51+1)*$H57,0)+$E51-1&gt;=I$8)</formula>
    </cfRule>
    <cfRule type="expression" dxfId="0" priority="71">
      <formula>AND(NOT(ISBLANK($E51)),$E51&lt;=I$8,$G57&gt;=I$8)</formula>
    </cfRule>
  </conditionalFormatting>
  <pageMargins left="0.7" right="0.7" top="0.78740157499999996" bottom="0.78740157499999996" header="0.3" footer="0.3"/>
  <ignoredErrors>
    <ignoredError sqref="A10" numberStoredAsText="1"/>
    <ignoredError sqref="H10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518970-A63F-6942-8A0B-BA2DC15915D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H10</xm:sqref>
        </x14:conditionalFormatting>
        <x14:conditionalFormatting xmlns:xm="http://schemas.microsoft.com/office/excel/2006/main">
          <x14:cfRule type="dataBar" id="{DDA58751-1F81-C548-A6F0-1FB2E8136659}">
            <x14:dataBar minLength="0" maxLength="10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H11:H15</xm:sqref>
        </x14:conditionalFormatting>
        <x14:conditionalFormatting xmlns:xm="http://schemas.microsoft.com/office/excel/2006/main">
          <x14:cfRule type="dataBar" id="{CD852A62-CA7B-2C44-9526-FB027B61FDF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H16</xm:sqref>
        </x14:conditionalFormatting>
        <x14:conditionalFormatting xmlns:xm="http://schemas.microsoft.com/office/excel/2006/main">
          <x14:cfRule type="dataBar" id="{676CC77E-4494-FB46-9159-9C56A28AED70}">
            <x14:dataBar minLength="0" maxLength="10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H17:H22</xm:sqref>
        </x14:conditionalFormatting>
        <x14:conditionalFormatting xmlns:xm="http://schemas.microsoft.com/office/excel/2006/main">
          <x14:cfRule type="dataBar" id="{D27F143A-D10C-F948-BF52-B9EF29E0358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H23</xm:sqref>
        </x14:conditionalFormatting>
        <x14:conditionalFormatting xmlns:xm="http://schemas.microsoft.com/office/excel/2006/main">
          <x14:cfRule type="dataBar" id="{004905B3-D1AE-2D42-B624-5A2AEB8D48E0}">
            <x14:dataBar minLength="0" maxLength="10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H24:H28</xm:sqref>
        </x14:conditionalFormatting>
        <x14:conditionalFormatting xmlns:xm="http://schemas.microsoft.com/office/excel/2006/main">
          <x14:cfRule type="dataBar" id="{AA9A1316-B453-3143-B374-D463D22C06C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H29</xm:sqref>
        </x14:conditionalFormatting>
        <x14:conditionalFormatting xmlns:xm="http://schemas.microsoft.com/office/excel/2006/main">
          <x14:cfRule type="dataBar" id="{3CD8A375-EE0C-A946-8B2B-D0087F1C91ED}">
            <x14:dataBar minLength="0" maxLength="10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H30:H34</xm:sqref>
        </x14:conditionalFormatting>
        <x14:conditionalFormatting xmlns:xm="http://schemas.microsoft.com/office/excel/2006/main">
          <x14:cfRule type="dataBar" id="{EB7AA17A-CE31-4B69-BD8B-3BE96BC3BEE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H35</xm:sqref>
        </x14:conditionalFormatting>
        <x14:conditionalFormatting xmlns:xm="http://schemas.microsoft.com/office/excel/2006/main">
          <x14:cfRule type="dataBar" id="{EE374933-1934-42EE-AF1A-4955F89ACF06}">
            <x14:dataBar minLength="0" maxLength="10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H36:H65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'Basic Data'!$D$5:$D$100</xm:f>
          </x14:formula1>
          <xm:sqref>C11:C13 C30:C34 C36:C40 C15 C17:C20 C24:C28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Basic Data</vt:lpstr>
      <vt:lpstr>Project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Botta</dc:creator>
  <cp:lastModifiedBy>Bilal BBC</cp:lastModifiedBy>
  <dcterms:created xsi:type="dcterms:W3CDTF">2019-09-23T10:49:50Z</dcterms:created>
  <dcterms:modified xsi:type="dcterms:W3CDTF">2025-06-01T20:57:27Z</dcterms:modified>
</cp:coreProperties>
</file>